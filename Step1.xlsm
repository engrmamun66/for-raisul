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mun\Desktop\"/>
    </mc:Choice>
  </mc:AlternateContent>
  <xr:revisionPtr revIDLastSave="0" documentId="13_ncr:1_{E50C0058-8F2F-438B-BFCE-9F34A83C3B7B}" xr6:coauthVersionLast="45" xr6:coauthVersionMax="45" xr10:uidLastSave="{00000000-0000-0000-0000-000000000000}"/>
  <bookViews>
    <workbookView xWindow="-120" yWindow="-120" windowWidth="20730" windowHeight="11160" activeTab="2" xr2:uid="{25D1D425-D33B-41BD-8B20-7E3C22EC8033}"/>
  </bookViews>
  <sheets>
    <sheet name="Sheet1" sheetId="4" r:id="rId1"/>
    <sheet name="Sheet2" sheetId="7" r:id="rId2"/>
    <sheet name="Fixed_list" sheetId="5" r:id="rId3"/>
    <sheet name="Column Map Temprary sheet" sheetId="6" r:id="rId4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0" i="5" l="1"/>
  <c r="O11" i="5"/>
  <c r="BA24" i="4"/>
  <c r="M24" i="4"/>
  <c r="O5" i="5" l="1"/>
  <c r="M23" i="4"/>
  <c r="M25" i="4"/>
  <c r="AW6" i="4" l="1"/>
  <c r="AW7" i="4"/>
  <c r="A2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Y2" i="4"/>
  <c r="Z2" i="4"/>
  <c r="AA2" i="4"/>
  <c r="AB2" i="4"/>
  <c r="AC2" i="4"/>
  <c r="AD2" i="4"/>
  <c r="AE2" i="4"/>
  <c r="AF2" i="4"/>
  <c r="AG2" i="4"/>
  <c r="AH2" i="4"/>
  <c r="AI2" i="4"/>
  <c r="AJ2" i="4"/>
  <c r="AK2" i="4"/>
  <c r="AL2" i="4"/>
  <c r="AM2" i="4"/>
  <c r="AN2" i="4"/>
  <c r="AO2" i="4"/>
  <c r="AP2" i="4"/>
  <c r="AQ2" i="4"/>
  <c r="AR2" i="4"/>
  <c r="AS2" i="4"/>
  <c r="AT2" i="4"/>
  <c r="AU2" i="4"/>
  <c r="AV2" i="4"/>
  <c r="AW2" i="4"/>
  <c r="AX2" i="4"/>
  <c r="AY2" i="4"/>
  <c r="AZ2" i="4"/>
  <c r="BA2" i="4"/>
  <c r="BB2" i="4"/>
  <c r="BC2" i="4"/>
  <c r="BA23" i="4" l="1"/>
  <c r="BA22" i="4"/>
  <c r="M22" i="4"/>
  <c r="BA21" i="4"/>
  <c r="M21" i="4"/>
  <c r="BA20" i="4"/>
  <c r="M20" i="4"/>
  <c r="BA19" i="4"/>
  <c r="M19" i="4"/>
  <c r="BA18" i="4"/>
  <c r="M18" i="4"/>
  <c r="BA17" i="4"/>
  <c r="M17" i="4"/>
  <c r="BA16" i="4"/>
  <c r="M16" i="4"/>
  <c r="BA15" i="4"/>
  <c r="M15" i="4"/>
  <c r="BA14" i="4"/>
  <c r="M14" i="4"/>
  <c r="BA13" i="4"/>
  <c r="M13" i="4"/>
  <c r="BA12" i="4"/>
  <c r="M12" i="4"/>
  <c r="BA11" i="4"/>
  <c r="BA10" i="4"/>
  <c r="BA9" i="4"/>
  <c r="M9" i="4"/>
  <c r="BA8" i="4"/>
  <c r="M8" i="4"/>
  <c r="BA7" i="4"/>
  <c r="M7" i="4"/>
  <c r="BA6" i="4"/>
  <c r="M6" i="4"/>
  <c r="BA5" i="4"/>
  <c r="M5" i="4"/>
  <c r="BA4" i="4"/>
  <c r="M4" i="4"/>
  <c r="BA3" i="4"/>
  <c r="M3" i="4"/>
</calcChain>
</file>

<file path=xl/sharedStrings.xml><?xml version="1.0" encoding="utf-8"?>
<sst xmlns="http://schemas.openxmlformats.org/spreadsheetml/2006/main" count="678" uniqueCount="255">
  <si>
    <t>MODEL</t>
  </si>
  <si>
    <t>S9</t>
  </si>
  <si>
    <t>LIST</t>
  </si>
  <si>
    <t>LSO</t>
  </si>
  <si>
    <t>SOFTWARE JOBSHEET NO</t>
  </si>
  <si>
    <t>Category</t>
  </si>
  <si>
    <t>IMEI</t>
  </si>
  <si>
    <t>ITEM</t>
  </si>
  <si>
    <t>IN COURIER NAME</t>
  </si>
  <si>
    <t>BOOKING DATE</t>
  </si>
  <si>
    <t>IN CN NO</t>
  </si>
  <si>
    <t>IN CN Amount</t>
  </si>
  <si>
    <t>PREVIOUS HISTORY</t>
  </si>
  <si>
    <t>PURCHASE DATE</t>
  </si>
  <si>
    <t>W &amp; NW DAY COUNT</t>
  </si>
  <si>
    <t>WARRANTY STATUS</t>
  </si>
  <si>
    <t>CUSTOMER NAME</t>
  </si>
  <si>
    <t>CUSTOMER TYPE</t>
  </si>
  <si>
    <t>LOCATION</t>
  </si>
  <si>
    <t>CONTACT NO</t>
  </si>
  <si>
    <t>PROBLEM1</t>
  </si>
  <si>
    <t>PROBLEM2</t>
  </si>
  <si>
    <t>RECEIVED BY</t>
  </si>
  <si>
    <t>SIMILAR MODEL</t>
  </si>
  <si>
    <t>SPARE1</t>
  </si>
  <si>
    <t>SPARE2</t>
  </si>
  <si>
    <t>SPARE3</t>
  </si>
  <si>
    <t>EXCHANGE Model/RF</t>
  </si>
  <si>
    <t>EXCHANGE IMEI</t>
  </si>
  <si>
    <t>SPARE4</t>
  </si>
  <si>
    <t>SPARE5</t>
  </si>
  <si>
    <t>RECEIVE DATE</t>
  </si>
  <si>
    <t>REPAIR DATE</t>
  </si>
  <si>
    <t>REPAIR STATUS</t>
  </si>
  <si>
    <t>SERVICE LEVEL</t>
  </si>
  <si>
    <t>PENDING PARTS NAME</t>
  </si>
  <si>
    <t>RECEIVE DATE FROM CC</t>
  </si>
  <si>
    <t>SEND DATE TO CC</t>
  </si>
  <si>
    <t>SEND DATE TO HQ</t>
  </si>
  <si>
    <t>RECEIVE DATE FROM HQ</t>
  </si>
  <si>
    <t>TENTATIVE DELIVERY DATE</t>
  </si>
  <si>
    <t>DELIVERY DATE</t>
  </si>
  <si>
    <t>OUT COURIER</t>
  </si>
  <si>
    <t>OUT CN NO</t>
  </si>
  <si>
    <t>OUT CN AMOUNT</t>
  </si>
  <si>
    <t>ENGINEER NAME</t>
  </si>
  <si>
    <t>MEMO NO</t>
  </si>
  <si>
    <t>DISCOUNT</t>
  </si>
  <si>
    <t>PRICE</t>
  </si>
  <si>
    <t>TAT</t>
  </si>
  <si>
    <t>CARE NAME</t>
  </si>
  <si>
    <t>REMARKS</t>
  </si>
  <si>
    <t>202008C0010976</t>
  </si>
  <si>
    <t>M212bNew</t>
  </si>
  <si>
    <t>Feature Phone</t>
  </si>
  <si>
    <t>ONLY SET</t>
  </si>
  <si>
    <t>SB</t>
  </si>
  <si>
    <t>W</t>
  </si>
  <si>
    <t>AQUIMON TELECOM</t>
  </si>
  <si>
    <t>CDS</t>
  </si>
  <si>
    <t>JAMALPUR</t>
  </si>
  <si>
    <t>01936351323</t>
  </si>
  <si>
    <t>EARPICE SOUND NOISE</t>
  </si>
  <si>
    <t xml:space="preserve">NO RINGTONE SOUND                   </t>
  </si>
  <si>
    <t>SHOHRAB</t>
  </si>
  <si>
    <t>PENDING</t>
  </si>
  <si>
    <t>Banani</t>
  </si>
  <si>
    <t>202008C0010979</t>
  </si>
  <si>
    <t>M82New</t>
  </si>
  <si>
    <t>S+B</t>
  </si>
  <si>
    <t>CHARGE DON'T STORE</t>
  </si>
  <si>
    <t>DEAD</t>
  </si>
  <si>
    <t>202008C0010981</t>
  </si>
  <si>
    <t>M241b</t>
  </si>
  <si>
    <t>DISPLAY WHITE</t>
  </si>
  <si>
    <t>202008C0010984</t>
  </si>
  <si>
    <t>CALL DROP</t>
  </si>
  <si>
    <t>NETWORK SIGNAL WEAK</t>
  </si>
  <si>
    <t>202008C0010987</t>
  </si>
  <si>
    <t>M80New</t>
  </si>
  <si>
    <t xml:space="preserve">202008C0010989 </t>
  </si>
  <si>
    <t>M213SNew</t>
  </si>
  <si>
    <t>BATTRY FAULTY</t>
  </si>
  <si>
    <t>202008C0010992</t>
  </si>
  <si>
    <t>M106cNew</t>
  </si>
  <si>
    <t>F+B</t>
  </si>
  <si>
    <t>DOA</t>
  </si>
  <si>
    <t>HANG</t>
  </si>
  <si>
    <t>KEY'S NO WORK</t>
  </si>
  <si>
    <t>MICROPHONE PROBLEM</t>
  </si>
  <si>
    <t>202008C0010995</t>
  </si>
  <si>
    <t>S1</t>
  </si>
  <si>
    <t>NW</t>
  </si>
  <si>
    <t>MK TELECOME</t>
  </si>
  <si>
    <t>PIROJPUR</t>
  </si>
  <si>
    <t>01717469502</t>
  </si>
  <si>
    <t>202008C0010998</t>
  </si>
  <si>
    <t xml:space="preserve"> </t>
  </si>
  <si>
    <t>SET HOT</t>
  </si>
  <si>
    <t>AUTO OFF</t>
  </si>
  <si>
    <t>202008C0011000</t>
  </si>
  <si>
    <t>M266mNew</t>
  </si>
  <si>
    <t>202008C0011004</t>
  </si>
  <si>
    <t>M75</t>
  </si>
  <si>
    <t>S+B, No back cover</t>
  </si>
  <si>
    <t>w</t>
  </si>
  <si>
    <t>JK TELECOME</t>
  </si>
  <si>
    <t>BATTERY FAULT</t>
  </si>
  <si>
    <t>202008C0011006</t>
  </si>
  <si>
    <t>M314bNew</t>
  </si>
  <si>
    <t>202008C0011008</t>
  </si>
  <si>
    <t>P1</t>
  </si>
  <si>
    <t>Smart Phone</t>
  </si>
  <si>
    <t>202008C0011010</t>
  </si>
  <si>
    <t>OTHERS</t>
  </si>
  <si>
    <t>YES MOBILE</t>
  </si>
  <si>
    <t>MIRPUR</t>
  </si>
  <si>
    <t>01674008600</t>
  </si>
  <si>
    <t>F.M DOSE NOT WORK</t>
  </si>
  <si>
    <t>202008C0011016</t>
  </si>
  <si>
    <t>M79New</t>
  </si>
  <si>
    <t>SOFTWAR SHOWS NON WARENTY</t>
  </si>
  <si>
    <t>202008C0011019</t>
  </si>
  <si>
    <t>M84</t>
  </si>
  <si>
    <t>202008C0011022</t>
  </si>
  <si>
    <t>202008C0011024</t>
  </si>
  <si>
    <t>CHARGER FAULT</t>
  </si>
  <si>
    <t>202008C0011027</t>
  </si>
  <si>
    <t>202008C0011028</t>
  </si>
  <si>
    <t>M20iNew</t>
  </si>
  <si>
    <t>202008C0011031</t>
  </si>
  <si>
    <t>P7 PLUS</t>
  </si>
  <si>
    <t>P7</t>
  </si>
  <si>
    <t>D7</t>
  </si>
  <si>
    <t>M78</t>
  </si>
  <si>
    <t>A9</t>
  </si>
  <si>
    <t>M40</t>
  </si>
  <si>
    <t>M88</t>
  </si>
  <si>
    <t>P9</t>
  </si>
  <si>
    <t>P2</t>
  </si>
  <si>
    <t>NOIR X</t>
  </si>
  <si>
    <t>M41</t>
  </si>
  <si>
    <t>D1</t>
  </si>
  <si>
    <t>P3</t>
  </si>
  <si>
    <t>A1</t>
  </si>
  <si>
    <t>P8</t>
  </si>
  <si>
    <t>T2</t>
  </si>
  <si>
    <t>S10</t>
  </si>
  <si>
    <t>P11</t>
  </si>
  <si>
    <t>M4</t>
  </si>
  <si>
    <t>G10 MAX</t>
  </si>
  <si>
    <t>G10MAX</t>
  </si>
  <si>
    <t>IX ULTRA</t>
  </si>
  <si>
    <t>M106CNEW</t>
  </si>
  <si>
    <t>M123B</t>
  </si>
  <si>
    <t>M18NEW</t>
  </si>
  <si>
    <t>M20INEW</t>
  </si>
  <si>
    <t>M210MNEW</t>
  </si>
  <si>
    <t>M212BNEW</t>
  </si>
  <si>
    <t>M213SNEW</t>
  </si>
  <si>
    <t>M214SNEW</t>
  </si>
  <si>
    <t>M215M</t>
  </si>
  <si>
    <t>M22NEW</t>
  </si>
  <si>
    <t>M241B</t>
  </si>
  <si>
    <t>M24NEW</t>
  </si>
  <si>
    <t>M250B</t>
  </si>
  <si>
    <t>M266MNEW</t>
  </si>
  <si>
    <t>M270S</t>
  </si>
  <si>
    <t>M312BNEW</t>
  </si>
  <si>
    <t>M314BNEW</t>
  </si>
  <si>
    <t>M316BNEW</t>
  </si>
  <si>
    <t>M333MNEW</t>
  </si>
  <si>
    <t>M34NEW</t>
  </si>
  <si>
    <t>M351D</t>
  </si>
  <si>
    <t>M40NEW</t>
  </si>
  <si>
    <t>M45INEW</t>
  </si>
  <si>
    <t>M505MNEW</t>
  </si>
  <si>
    <t>M64NEW</t>
  </si>
  <si>
    <t>M65NEW</t>
  </si>
  <si>
    <t>M75NEW</t>
  </si>
  <si>
    <t>M78NEW</t>
  </si>
  <si>
    <t>M79NEW</t>
  </si>
  <si>
    <t>M80NEW</t>
  </si>
  <si>
    <t>M82NEW</t>
  </si>
  <si>
    <t>M83NEW</t>
  </si>
  <si>
    <t>S+B+H</t>
  </si>
  <si>
    <t>S+B+C</t>
  </si>
  <si>
    <t>S+C</t>
  </si>
  <si>
    <t>S+H+C</t>
  </si>
  <si>
    <t>S+B, NO BACK COVER</t>
  </si>
  <si>
    <t>Warranty Status</t>
  </si>
  <si>
    <t>W&amp;A</t>
  </si>
  <si>
    <t>ONLY ACC</t>
  </si>
  <si>
    <t>NO NETWORK</t>
  </si>
  <si>
    <t>NO RINGTONE</t>
  </si>
  <si>
    <t>TORCH LIGHT NO WORK</t>
  </si>
  <si>
    <t>CAMERA PROBLEM</t>
  </si>
  <si>
    <t>TOUCH NO WORK</t>
  </si>
  <si>
    <t>SW UPDATE FAULT</t>
  </si>
  <si>
    <t>NO CHARGE</t>
  </si>
  <si>
    <t>AUTO CHARGE SHOW</t>
  </si>
  <si>
    <t>Problem1</t>
  </si>
  <si>
    <t>Problem2</t>
  </si>
  <si>
    <t>TORCH LIGHT PROBLEM</t>
  </si>
  <si>
    <t>CHARGING PORT BROKEN</t>
  </si>
  <si>
    <t>NO MIC SOUND</t>
  </si>
  <si>
    <t>NET SIGNAL WEAK</t>
  </si>
  <si>
    <t>AUTO H.P. SYMBLE</t>
  </si>
  <si>
    <t>INSERT SIM BOTH</t>
  </si>
  <si>
    <t>SIDE KEY NO WORK</t>
  </si>
  <si>
    <t>NO EARPICE SOUND</t>
  </si>
  <si>
    <t>ROMAN</t>
  </si>
  <si>
    <t>USB</t>
  </si>
  <si>
    <t>CDI</t>
  </si>
  <si>
    <t>BANANI</t>
  </si>
  <si>
    <t>BARISAL</t>
  </si>
  <si>
    <t>BOGRA</t>
  </si>
  <si>
    <t>CHAPAI</t>
  </si>
  <si>
    <t>DINAJPUR</t>
  </si>
  <si>
    <t>FARIDPUR</t>
  </si>
  <si>
    <t>FENI</t>
  </si>
  <si>
    <t xml:space="preserve">GAZIPUR </t>
  </si>
  <si>
    <t>JESSORE</t>
  </si>
  <si>
    <t>JOYPURHUT</t>
  </si>
  <si>
    <t>KHULNA</t>
  </si>
  <si>
    <t>KISHOREGONJ</t>
  </si>
  <si>
    <t>KUSHTIA</t>
  </si>
  <si>
    <t>MYMENSHINGH</t>
  </si>
  <si>
    <t>NAOGAON</t>
  </si>
  <si>
    <t>NARAYANGONJ</t>
  </si>
  <si>
    <t>PABNA</t>
  </si>
  <si>
    <t>RAJSHAHI</t>
  </si>
  <si>
    <t>RANGPUR</t>
  </si>
  <si>
    <t xml:space="preserve">SYLHET </t>
  </si>
  <si>
    <t>TANGAIL</t>
  </si>
  <si>
    <t>CTG</t>
  </si>
  <si>
    <t>COMILLA</t>
  </si>
  <si>
    <t>KALIGONJ</t>
  </si>
  <si>
    <t>Md. ASHRAFUL ISLAM</t>
  </si>
  <si>
    <t>MD.NAIM TUGLIL</t>
  </si>
  <si>
    <t>MD. ABDUL WAHHAB</t>
  </si>
  <si>
    <t>SWAP</t>
  </si>
  <si>
    <t xml:space="preserve">LOCAL MARKET </t>
  </si>
  <si>
    <t>HQ STORE</t>
  </si>
  <si>
    <t>LEVEL 3</t>
  </si>
  <si>
    <t>CHINA</t>
  </si>
  <si>
    <t>Location</t>
  </si>
  <si>
    <t>--</t>
  </si>
  <si>
    <t>OTHERS WRITE BY HAND</t>
  </si>
  <si>
    <t/>
  </si>
  <si>
    <t>This is remark text</t>
  </si>
  <si>
    <t>x cvcx dwq</t>
  </si>
  <si>
    <t>Controllers</t>
  </si>
  <si>
    <t>RESULT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</si>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</sst>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;@"/>
    <numFmt numFmtId="165" formatCode="[$-409]d/mmm/yy;@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theme="7" tint="0.79998168889431442"/>
      </patternFill>
    </fill>
    <fill>
      <patternFill patternType="solid">
        <fgColor rgb="FFFFFF00"/>
        <bgColor theme="7" tint="0.79998168889431442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theme="7" tint="0.79998168889431442"/>
      </patternFill>
    </fill>
    <fill>
      <patternFill patternType="solid">
        <fgColor theme="4" tint="0.59999389629810485"/>
        <bgColor theme="7" tint="0.79998168889431442"/>
      </patternFill>
    </fill>
    <fill>
      <patternFill patternType="solid">
        <fgColor theme="4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1" xfId="0" applyBorder="1" applyAlignment="1" applyProtection="1">
      <alignment horizontal="center" vertical="center"/>
      <protection locked="0"/>
    </xf>
    <xf numFmtId="0" fontId="0" fillId="2" borderId="0" xfId="0" applyFill="1"/>
    <xf numFmtId="0" fontId="0" fillId="0" borderId="0" xfId="0" applyAlignment="1">
      <alignment horizontal="center"/>
    </xf>
    <xf numFmtId="0" fontId="2" fillId="3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1" fontId="2" fillId="4" borderId="1" xfId="0" applyNumberFormat="1" applyFont="1" applyFill="1" applyBorder="1" applyAlignment="1">
      <alignment horizontal="center" vertical="center" wrapText="1"/>
    </xf>
    <xf numFmtId="164" fontId="2" fillId="4" borderId="1" xfId="0" applyNumberFormat="1" applyFont="1" applyFill="1" applyBorder="1" applyAlignment="1">
      <alignment horizontal="center" vertical="center" wrapText="1"/>
    </xf>
    <xf numFmtId="1" fontId="2" fillId="3" borderId="1" xfId="0" applyNumberFormat="1" applyFont="1" applyFill="1" applyBorder="1" applyAlignment="1">
      <alignment horizontal="center" vertical="center" wrapText="1"/>
    </xf>
    <xf numFmtId="15" fontId="2" fillId="3" borderId="1" xfId="0" applyNumberFormat="1" applyFont="1" applyFill="1" applyBorder="1" applyAlignment="1">
      <alignment horizontal="center" vertical="center" wrapText="1"/>
    </xf>
    <xf numFmtId="0" fontId="2" fillId="3" borderId="1" xfId="0" applyFont="1" applyFill="1" applyBorder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>
      <alignment horizontal="center" vertical="center"/>
    </xf>
    <xf numFmtId="49" fontId="2" fillId="4" borderId="1" xfId="0" applyNumberFormat="1" applyFont="1" applyFill="1" applyBorder="1" applyAlignment="1">
      <alignment horizontal="center" vertical="center" wrapText="1"/>
    </xf>
    <xf numFmtId="165" fontId="2" fillId="3" borderId="1" xfId="0" applyNumberFormat="1" applyFont="1" applyFill="1" applyBorder="1" applyAlignment="1">
      <alignment horizontal="center" vertical="center" wrapText="1"/>
    </xf>
    <xf numFmtId="15" fontId="2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2" fillId="5" borderId="1" xfId="0" applyFont="1" applyFill="1" applyBorder="1" applyAlignment="1">
      <alignment horizontal="center" vertical="center" wrapText="1"/>
    </xf>
    <xf numFmtId="15" fontId="2" fillId="3" borderId="1" xfId="0" applyNumberFormat="1" applyFont="1" applyFill="1" applyBorder="1" applyAlignment="1" applyProtection="1">
      <alignment horizontal="center" vertical="center"/>
      <protection locked="0"/>
    </xf>
    <xf numFmtId="15" fontId="2" fillId="3" borderId="1" xfId="0" applyNumberFormat="1" applyFont="1" applyFill="1" applyBorder="1" applyAlignment="1" applyProtection="1">
      <alignment horizontal="center" vertical="center" wrapText="1"/>
      <protection locked="0"/>
    </xf>
    <xf numFmtId="15" fontId="3" fillId="3" borderId="1" xfId="0" applyNumberFormat="1" applyFont="1" applyFill="1" applyBorder="1" applyAlignment="1" applyProtection="1">
      <alignment horizontal="center" vertical="center"/>
      <protection locked="0"/>
    </xf>
    <xf numFmtId="15" fontId="2" fillId="4" borderId="1" xfId="0" applyNumberFormat="1" applyFont="1" applyFill="1" applyBorder="1" applyAlignment="1">
      <alignment horizontal="center" vertical="center" wrapText="1"/>
    </xf>
    <xf numFmtId="165" fontId="2" fillId="4" borderId="1" xfId="0" applyNumberFormat="1" applyFont="1" applyFill="1" applyBorder="1" applyAlignment="1">
      <alignment horizontal="center" vertical="center" wrapText="1"/>
    </xf>
    <xf numFmtId="1" fontId="2" fillId="3" borderId="1" xfId="0" applyNumberFormat="1" applyFont="1" applyFill="1" applyBorder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15" fontId="0" fillId="0" borderId="1" xfId="0" applyNumberForma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hidden="1"/>
    </xf>
    <xf numFmtId="49" fontId="0" fillId="0" borderId="1" xfId="0" applyNumberFormat="1" applyBorder="1" applyAlignment="1" applyProtection="1">
      <alignment horizontal="center" vertical="center"/>
      <protection locked="0"/>
    </xf>
    <xf numFmtId="165" fontId="0" fillId="0" borderId="1" xfId="0" applyNumberFormat="1" applyBorder="1" applyAlignment="1" applyProtection="1">
      <alignment horizontal="center" vertical="center"/>
      <protection locked="0"/>
    </xf>
    <xf numFmtId="0" fontId="1" fillId="0" borderId="1" xfId="0" applyFont="1" applyBorder="1" applyAlignment="1">
      <alignment horizontal="center" vertical="center"/>
    </xf>
    <xf numFmtId="0" fontId="0" fillId="6" borderId="0" xfId="0" applyFill="1"/>
    <xf numFmtId="15" fontId="0" fillId="0" borderId="0" xfId="0" applyNumberFormat="1"/>
    <xf numFmtId="15" fontId="2" fillId="7" borderId="1" xfId="0" applyNumberFormat="1" applyFont="1" applyFill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center"/>
    </xf>
    <xf numFmtId="0" fontId="0" fillId="9" borderId="0" xfId="0" applyFill="1" applyAlignment="1">
      <alignment horizontal="center"/>
    </xf>
    <xf numFmtId="0" fontId="2" fillId="3" borderId="0" xfId="0" applyFont="1" applyFill="1" applyBorder="1" applyAlignment="1" applyProtection="1">
      <alignment horizontal="center" vertical="center" wrapText="1"/>
      <protection hidden="1"/>
    </xf>
    <xf numFmtId="0" fontId="2" fillId="3" borderId="2" xfId="0" applyFont="1" applyFill="1" applyBorder="1" applyAlignment="1" applyProtection="1">
      <alignment horizontal="center" vertical="center" wrapText="1"/>
      <protection hidden="1"/>
    </xf>
    <xf numFmtId="0" fontId="0" fillId="0" borderId="0" xfId="0" applyAlignment="1">
      <alignment horizontal="center"/>
    </xf>
    <xf numFmtId="0" fontId="2" fillId="3" borderId="3" xfId="0" applyFont="1" applyFill="1" applyBorder="1" applyAlignment="1">
      <alignment horizontal="center" vertical="center" wrapText="1"/>
    </xf>
    <xf numFmtId="0" fontId="2" fillId="3" borderId="0" xfId="0" applyFont="1" applyFill="1" applyBorder="1" applyAlignment="1">
      <alignment horizontal="center" vertical="center" wrapText="1"/>
    </xf>
  </cellXfs>
  <cellStyles count="1">
    <cellStyle name="Normal" xfId="0" builtinId="0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2</xdr:row>
      <xdr:rowOff>0</xdr:rowOff>
    </xdr:from>
    <xdr:to>
      <xdr:col>4</xdr:col>
      <xdr:colOff>9525</xdr:colOff>
      <xdr:row>2</xdr:row>
      <xdr:rowOff>9525</xdr:rowOff>
    </xdr:to>
    <xdr:sp macro="" textlink="">
      <xdr:nvSpPr>
        <xdr:cNvPr id="2" name="Control 38" hidden="1">
          <a:extLst>
            <a:ext uri="{63B3BB69-23CF-44E3-9099-C40C66FF867C}">
              <a14:compatExt xmlns:a14="http://schemas.microsoft.com/office/drawing/2010/main" spid="_x0000_s2086"/>
            </a:ext>
            <a:ext uri="{FF2B5EF4-FFF2-40B4-BE49-F238E27FC236}">
              <a16:creationId xmlns:a16="http://schemas.microsoft.com/office/drawing/2014/main" id="{423D7624-D6D1-445F-BDDC-AAD7EC791D5E}"/>
            </a:ext>
          </a:extLst>
        </xdr:cNvPr>
        <xdr:cNvSpPr/>
      </xdr:nvSpPr>
      <xdr:spPr bwMode="auto">
        <a:xfrm>
          <a:off x="3838575" y="19050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  <xdr:twoCellAnchor editAs="oneCell">
    <xdr:from>
      <xdr:col>4</xdr:col>
      <xdr:colOff>0</xdr:colOff>
      <xdr:row>2</xdr:row>
      <xdr:rowOff>0</xdr:rowOff>
    </xdr:from>
    <xdr:to>
      <xdr:col>4</xdr:col>
      <xdr:colOff>914400</xdr:colOff>
      <xdr:row>3</xdr:row>
      <xdr:rowOff>47625</xdr:rowOff>
    </xdr:to>
    <xdr:sp macro="" textlink="">
      <xdr:nvSpPr>
        <xdr:cNvPr id="3" name="Control 38" hidden="1">
          <a:extLst>
            <a:ext uri="{63B3BB69-23CF-44E3-9099-C40C66FF867C}">
              <a14:compatExt xmlns:a14="http://schemas.microsoft.com/office/drawing/2010/main" spid="_x0000_s2086"/>
            </a:ext>
            <a:ext uri="{FF2B5EF4-FFF2-40B4-BE49-F238E27FC236}">
              <a16:creationId xmlns:a16="http://schemas.microsoft.com/office/drawing/2014/main" id="{9F614131-0C4B-4FE8-A16F-6760D7812577}"/>
            </a:ext>
          </a:extLst>
        </xdr:cNvPr>
        <xdr:cNvSpPr/>
      </xdr:nvSpPr>
      <xdr:spPr bwMode="auto">
        <a:xfrm>
          <a:off x="3838575" y="190500"/>
          <a:ext cx="914400" cy="22860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  <xdr:twoCellAnchor editAs="oneCell">
    <xdr:from>
      <xdr:col>4</xdr:col>
      <xdr:colOff>0</xdr:colOff>
      <xdr:row>2</xdr:row>
      <xdr:rowOff>0</xdr:rowOff>
    </xdr:from>
    <xdr:to>
      <xdr:col>4</xdr:col>
      <xdr:colOff>9525</xdr:colOff>
      <xdr:row>2</xdr:row>
      <xdr:rowOff>9525</xdr:rowOff>
    </xdr:to>
    <xdr:sp macro="" textlink="">
      <xdr:nvSpPr>
        <xdr:cNvPr id="4" name="Control 47" hidden="1">
          <a:extLst>
            <a:ext uri="{63B3BB69-23CF-44E3-9099-C40C66FF867C}">
              <a14:compatExt xmlns:a14="http://schemas.microsoft.com/office/drawing/2010/main" spid="_x0000_s2095"/>
            </a:ext>
            <a:ext uri="{FF2B5EF4-FFF2-40B4-BE49-F238E27FC236}">
              <a16:creationId xmlns:a16="http://schemas.microsoft.com/office/drawing/2014/main" id="{A550F3B0-F522-40E6-859F-0565C9E8252F}"/>
            </a:ext>
          </a:extLst>
        </xdr:cNvPr>
        <xdr:cNvSpPr/>
      </xdr:nvSpPr>
      <xdr:spPr bwMode="auto">
        <a:xfrm>
          <a:off x="3838575" y="19050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  <xdr:twoCellAnchor editAs="oneCell">
    <xdr:from>
      <xdr:col>4</xdr:col>
      <xdr:colOff>0</xdr:colOff>
      <xdr:row>2</xdr:row>
      <xdr:rowOff>0</xdr:rowOff>
    </xdr:from>
    <xdr:to>
      <xdr:col>4</xdr:col>
      <xdr:colOff>914400</xdr:colOff>
      <xdr:row>3</xdr:row>
      <xdr:rowOff>47625</xdr:rowOff>
    </xdr:to>
    <xdr:sp macro="" textlink="">
      <xdr:nvSpPr>
        <xdr:cNvPr id="5" name="Control 47" hidden="1">
          <a:extLst>
            <a:ext uri="{63B3BB69-23CF-44E3-9099-C40C66FF867C}">
              <a14:compatExt xmlns:a14="http://schemas.microsoft.com/office/drawing/2010/main" spid="_x0000_s2095"/>
            </a:ext>
            <a:ext uri="{FF2B5EF4-FFF2-40B4-BE49-F238E27FC236}">
              <a16:creationId xmlns:a16="http://schemas.microsoft.com/office/drawing/2014/main" id="{DC377D82-97BF-435E-BCB9-E7E10000EBEC}"/>
            </a:ext>
          </a:extLst>
        </xdr:cNvPr>
        <xdr:cNvSpPr/>
      </xdr:nvSpPr>
      <xdr:spPr bwMode="auto">
        <a:xfrm>
          <a:off x="3838575" y="190500"/>
          <a:ext cx="914400" cy="22860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  <xdr:twoCellAnchor editAs="oneCell">
    <xdr:from>
      <xdr:col>4</xdr:col>
      <xdr:colOff>0</xdr:colOff>
      <xdr:row>2</xdr:row>
      <xdr:rowOff>0</xdr:rowOff>
    </xdr:from>
    <xdr:to>
      <xdr:col>4</xdr:col>
      <xdr:colOff>9525</xdr:colOff>
      <xdr:row>2</xdr:row>
      <xdr:rowOff>9525</xdr:rowOff>
    </xdr:to>
    <xdr:pic>
      <xdr:nvPicPr>
        <xdr:cNvPr id="6" name="Object 38">
          <a:extLst>
            <a:ext uri="{FF2B5EF4-FFF2-40B4-BE49-F238E27FC236}">
              <a16:creationId xmlns:a16="http://schemas.microsoft.com/office/drawing/2014/main" id="{A38E4706-D6E2-431F-821F-3583A4A978F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38575" y="19050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twoCellAnchor>
  <xdr:twoCellAnchor editAs="oneCell">
    <xdr:from>
      <xdr:col>4</xdr:col>
      <xdr:colOff>0</xdr:colOff>
      <xdr:row>2</xdr:row>
      <xdr:rowOff>0</xdr:rowOff>
    </xdr:from>
    <xdr:to>
      <xdr:col>4</xdr:col>
      <xdr:colOff>9525</xdr:colOff>
      <xdr:row>2</xdr:row>
      <xdr:rowOff>9525</xdr:rowOff>
    </xdr:to>
    <xdr:pic>
      <xdr:nvPicPr>
        <xdr:cNvPr id="7" name="Object 47">
          <a:extLst>
            <a:ext uri="{FF2B5EF4-FFF2-40B4-BE49-F238E27FC236}">
              <a16:creationId xmlns:a16="http://schemas.microsoft.com/office/drawing/2014/main" id="{F0175697-6BE4-49F4-8A17-6FAAC8E7D6C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38575" y="19050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84648-D8DA-4C55-8295-710F074DF68D}">
  <sheetPr codeName="Sheet1"/>
  <dimension ref="A1:BC55"/>
  <sheetViews>
    <sheetView topLeftCell="BA1" workbookViewId="0">
      <pane ySplit="2" topLeftCell="A19" activePane="bottomLeft" state="frozen"/>
      <selection pane="bottomLeft" activeCell="BA23" sqref="BA23"/>
    </sheetView>
  </sheetViews>
  <sheetFormatPr defaultColWidth="9.140625" defaultRowHeight="15" x14ac:dyDescent="0.25"/>
  <cols>
    <col min="1" max="1" width="10" bestFit="1" customWidth="1"/>
    <col min="2" max="2" width="21.85546875" bestFit="1" customWidth="1"/>
    <col min="3" max="3" width="11.5703125" bestFit="1" customWidth="1"/>
    <col min="4" max="4" width="14.140625" bestFit="1" customWidth="1"/>
    <col min="5" max="5" width="16.140625" bestFit="1" customWidth="1"/>
    <col min="6" max="6" width="19.140625" bestFit="1" customWidth="1"/>
    <col min="7" max="7" width="17.42578125" bestFit="1" customWidth="1"/>
    <col min="8" max="8" width="15.42578125" bestFit="1" customWidth="1"/>
    <col min="9" max="9" width="16.140625" bestFit="1" customWidth="1"/>
    <col min="10" max="10" width="14.85546875" bestFit="1" customWidth="1"/>
    <col min="11" max="11" width="18.140625" bestFit="1" customWidth="1"/>
    <col min="12" max="12" width="16.28515625" bestFit="1" customWidth="1"/>
    <col min="13" max="13" width="19.28515625" bestFit="1" customWidth="1"/>
    <col min="14" max="14" width="18.5703125" bestFit="1" customWidth="1"/>
    <col min="15" max="15" width="35.28515625" bestFit="1" customWidth="1"/>
    <col min="16" max="16" width="16.28515625" bestFit="1" customWidth="1"/>
    <col min="17" max="17" width="18.5703125" bestFit="1" customWidth="1"/>
    <col min="18" max="18" width="14" bestFit="1" customWidth="1"/>
    <col min="19" max="20" width="26.28515625" bestFit="1" customWidth="1"/>
    <col min="21" max="21" width="35.7109375" bestFit="1" customWidth="1"/>
    <col min="22" max="22" width="19.85546875" bestFit="1" customWidth="1"/>
    <col min="23" max="23" width="16.28515625" bestFit="1" customWidth="1"/>
    <col min="24" max="24" width="12.28515625" bestFit="1" customWidth="1"/>
    <col min="25" max="26" width="10.5703125" bestFit="1" customWidth="1"/>
    <col min="27" max="27" width="19.85546875" bestFit="1" customWidth="1"/>
    <col min="28" max="28" width="16.140625" bestFit="1" customWidth="1"/>
    <col min="29" max="29" width="15.140625" bestFit="1" customWidth="1"/>
    <col min="30" max="30" width="12.85546875" bestFit="1" customWidth="1"/>
    <col min="31" max="31" width="13.140625" bestFit="1" customWidth="1"/>
    <col min="32" max="33" width="10.5703125" bestFit="1" customWidth="1"/>
    <col min="34" max="34" width="14.5703125" bestFit="1" customWidth="1"/>
    <col min="35" max="35" width="14" bestFit="1" customWidth="1"/>
    <col min="36" max="36" width="16.28515625" bestFit="1" customWidth="1"/>
    <col min="37" max="37" width="15" bestFit="1" customWidth="1"/>
    <col min="38" max="39" width="20.5703125" bestFit="1" customWidth="1"/>
    <col min="40" max="40" width="21" bestFit="1" customWidth="1"/>
    <col min="41" max="41" width="16.7109375" bestFit="1" customWidth="1"/>
    <col min="42" max="42" width="19.7109375" bestFit="1" customWidth="1"/>
    <col min="43" max="43" width="21.42578125" bestFit="1" customWidth="1"/>
    <col min="44" max="44" width="23.140625" bestFit="1" customWidth="1"/>
    <col min="45" max="45" width="15.5703125" bestFit="1" customWidth="1"/>
    <col min="46" max="46" width="14.28515625" bestFit="1" customWidth="1"/>
    <col min="47" max="47" width="12.7109375" bestFit="1" customWidth="1"/>
    <col min="48" max="48" width="16.85546875" bestFit="1" customWidth="1"/>
    <col min="49" max="49" width="22.28515625" bestFit="1" customWidth="1"/>
    <col min="50" max="50" width="12.42578125" bestFit="1" customWidth="1"/>
    <col min="51" max="51" width="12.28515625" bestFit="1" customWidth="1"/>
    <col min="52" max="52" width="9.28515625" bestFit="1" customWidth="1"/>
    <col min="53" max="53" width="8" bestFit="1" customWidth="1"/>
    <col min="54" max="54" width="13.42578125" bestFit="1" customWidth="1"/>
    <col min="55" max="55" width="69.42578125" bestFit="1" customWidth="1"/>
  </cols>
  <sheetData>
    <row r="1" spans="1:55" s="22" customFormat="1" x14ac:dyDescent="0.25">
      <c r="A1" s="4" t="s">
        <v>3</v>
      </c>
      <c r="B1" s="4" t="s">
        <v>4</v>
      </c>
      <c r="C1" s="5" t="s">
        <v>0</v>
      </c>
      <c r="D1" s="5" t="s">
        <v>5</v>
      </c>
      <c r="E1" s="6" t="s">
        <v>6</v>
      </c>
      <c r="F1" s="5" t="s">
        <v>7</v>
      </c>
      <c r="G1" s="6" t="s">
        <v>8</v>
      </c>
      <c r="H1" s="7" t="s">
        <v>9</v>
      </c>
      <c r="I1" s="6" t="s">
        <v>10</v>
      </c>
      <c r="J1" s="6" t="s">
        <v>11</v>
      </c>
      <c r="K1" s="8" t="s">
        <v>12</v>
      </c>
      <c r="L1" s="9" t="s">
        <v>13</v>
      </c>
      <c r="M1" s="10" t="s">
        <v>14</v>
      </c>
      <c r="N1" s="4" t="s">
        <v>15</v>
      </c>
      <c r="O1" s="11" t="s">
        <v>16</v>
      </c>
      <c r="P1" s="11" t="s">
        <v>17</v>
      </c>
      <c r="Q1" s="5" t="s">
        <v>18</v>
      </c>
      <c r="R1" s="12" t="s">
        <v>19</v>
      </c>
      <c r="S1" s="4" t="s">
        <v>20</v>
      </c>
      <c r="T1" s="4" t="s">
        <v>21</v>
      </c>
      <c r="U1" s="4" t="s">
        <v>248</v>
      </c>
      <c r="V1" s="13" t="s">
        <v>22</v>
      </c>
      <c r="W1" s="4" t="s">
        <v>23</v>
      </c>
      <c r="X1" s="4" t="s">
        <v>24</v>
      </c>
      <c r="Y1" s="4" t="s">
        <v>25</v>
      </c>
      <c r="Z1" s="4" t="s">
        <v>26</v>
      </c>
      <c r="AA1" s="4" t="s">
        <v>27</v>
      </c>
      <c r="AB1" s="4" t="s">
        <v>28</v>
      </c>
      <c r="AC1" s="4" t="s">
        <v>24</v>
      </c>
      <c r="AD1" s="4" t="s">
        <v>25</v>
      </c>
      <c r="AE1" s="4" t="s">
        <v>26</v>
      </c>
      <c r="AF1" s="4" t="s">
        <v>29</v>
      </c>
      <c r="AG1" s="4" t="s">
        <v>30</v>
      </c>
      <c r="AH1" s="14" t="s">
        <v>31</v>
      </c>
      <c r="AI1" s="9" t="s">
        <v>32</v>
      </c>
      <c r="AJ1" s="4" t="s">
        <v>33</v>
      </c>
      <c r="AK1" s="4" t="s">
        <v>34</v>
      </c>
      <c r="AL1" s="15" t="s">
        <v>35</v>
      </c>
      <c r="AM1" s="15" t="s">
        <v>35</v>
      </c>
      <c r="AN1" s="16" t="s">
        <v>36</v>
      </c>
      <c r="AO1" s="17" t="s">
        <v>37</v>
      </c>
      <c r="AP1" s="18" t="s">
        <v>38</v>
      </c>
      <c r="AQ1" s="17" t="s">
        <v>39</v>
      </c>
      <c r="AR1" s="9" t="s">
        <v>40</v>
      </c>
      <c r="AS1" s="19" t="s">
        <v>41</v>
      </c>
      <c r="AT1" s="20" t="s">
        <v>42</v>
      </c>
      <c r="AU1" s="20" t="s">
        <v>43</v>
      </c>
      <c r="AV1" s="20" t="s">
        <v>44</v>
      </c>
      <c r="AW1" s="4" t="s">
        <v>45</v>
      </c>
      <c r="AX1" s="21" t="s">
        <v>46</v>
      </c>
      <c r="AY1" s="21" t="s">
        <v>47</v>
      </c>
      <c r="AZ1" s="21" t="s">
        <v>48</v>
      </c>
      <c r="BA1" s="4" t="s">
        <v>49</v>
      </c>
      <c r="BB1" s="4" t="s">
        <v>50</v>
      </c>
      <c r="BC1" s="4" t="s">
        <v>51</v>
      </c>
    </row>
    <row r="2" spans="1:55" x14ac:dyDescent="0.25">
      <c r="A2" s="3">
        <f>COLUMN()</f>
        <v>1</v>
      </c>
      <c r="B2" s="3">
        <f>COLUMN()</f>
        <v>2</v>
      </c>
      <c r="C2" s="3">
        <f>COLUMN()</f>
        <v>3</v>
      </c>
      <c r="D2" s="3">
        <f>COLUMN()</f>
        <v>4</v>
      </c>
      <c r="E2" s="3">
        <f>COLUMN()</f>
        <v>5</v>
      </c>
      <c r="F2" s="3">
        <f>COLUMN()</f>
        <v>6</v>
      </c>
      <c r="G2" s="3">
        <f>COLUMN()</f>
        <v>7</v>
      </c>
      <c r="H2" s="3">
        <f>COLUMN()</f>
        <v>8</v>
      </c>
      <c r="I2" s="3">
        <f>COLUMN()</f>
        <v>9</v>
      </c>
      <c r="J2" s="3">
        <f>COLUMN()</f>
        <v>10</v>
      </c>
      <c r="K2" s="3">
        <f>COLUMN()</f>
        <v>11</v>
      </c>
      <c r="L2" s="3">
        <f>COLUMN()</f>
        <v>12</v>
      </c>
      <c r="M2" s="3">
        <f>COLUMN()</f>
        <v>13</v>
      </c>
      <c r="N2" s="3">
        <f>COLUMN()</f>
        <v>14</v>
      </c>
      <c r="O2" s="3">
        <f>COLUMN()</f>
        <v>15</v>
      </c>
      <c r="P2" s="3">
        <f>COLUMN()</f>
        <v>16</v>
      </c>
      <c r="Q2" s="3">
        <f>COLUMN()</f>
        <v>17</v>
      </c>
      <c r="R2" s="3">
        <f>COLUMN()</f>
        <v>18</v>
      </c>
      <c r="S2" s="3">
        <f>COLUMN()</f>
        <v>19</v>
      </c>
      <c r="T2" s="3">
        <f>COLUMN()</f>
        <v>20</v>
      </c>
      <c r="U2" s="3">
        <f>COLUMN()</f>
        <v>21</v>
      </c>
      <c r="V2" s="3">
        <f>COLUMN()</f>
        <v>22</v>
      </c>
      <c r="W2" s="3">
        <f>COLUMN()</f>
        <v>23</v>
      </c>
      <c r="X2" s="3"/>
      <c r="Y2" s="3">
        <f>COLUMN()</f>
        <v>25</v>
      </c>
      <c r="Z2" s="3">
        <f>COLUMN()</f>
        <v>26</v>
      </c>
      <c r="AA2" s="3">
        <f>COLUMN()</f>
        <v>27</v>
      </c>
      <c r="AB2" s="3">
        <f>COLUMN()</f>
        <v>28</v>
      </c>
      <c r="AC2" s="3">
        <f>COLUMN()</f>
        <v>29</v>
      </c>
      <c r="AD2" s="3">
        <f>COLUMN()</f>
        <v>30</v>
      </c>
      <c r="AE2" s="3">
        <f>COLUMN()</f>
        <v>31</v>
      </c>
      <c r="AF2" s="3">
        <f>COLUMN()</f>
        <v>32</v>
      </c>
      <c r="AG2" s="3">
        <f>COLUMN()</f>
        <v>33</v>
      </c>
      <c r="AH2" s="3">
        <f>COLUMN()</f>
        <v>34</v>
      </c>
      <c r="AI2" s="3">
        <f>COLUMN()</f>
        <v>35</v>
      </c>
      <c r="AJ2" s="3">
        <f>COLUMN()</f>
        <v>36</v>
      </c>
      <c r="AK2" s="3">
        <f>COLUMN()</f>
        <v>37</v>
      </c>
      <c r="AL2" s="3">
        <f>COLUMN()</f>
        <v>38</v>
      </c>
      <c r="AM2" s="3">
        <f>COLUMN()</f>
        <v>39</v>
      </c>
      <c r="AN2" s="3">
        <f>COLUMN()</f>
        <v>40</v>
      </c>
      <c r="AO2" s="3">
        <f>COLUMN()</f>
        <v>41</v>
      </c>
      <c r="AP2" s="3">
        <f>COLUMN()</f>
        <v>42</v>
      </c>
      <c r="AQ2" s="3">
        <f>COLUMN()</f>
        <v>43</v>
      </c>
      <c r="AR2" s="3">
        <f>COLUMN()</f>
        <v>44</v>
      </c>
      <c r="AS2" s="3">
        <f>COLUMN()</f>
        <v>45</v>
      </c>
      <c r="AT2" s="3">
        <f>COLUMN()</f>
        <v>46</v>
      </c>
      <c r="AU2" s="3">
        <f>COLUMN()</f>
        <v>47</v>
      </c>
      <c r="AV2" s="3">
        <f>COLUMN()</f>
        <v>48</v>
      </c>
      <c r="AW2" s="3">
        <f>COLUMN()</f>
        <v>49</v>
      </c>
      <c r="AX2" s="3">
        <f>COLUMN()</f>
        <v>50</v>
      </c>
      <c r="AY2" s="3">
        <f>COLUMN()</f>
        <v>51</v>
      </c>
      <c r="AZ2" s="3">
        <f>COLUMN()</f>
        <v>52</v>
      </c>
      <c r="BA2" s="3">
        <f>COLUMN()</f>
        <v>53</v>
      </c>
      <c r="BB2" s="3">
        <f>COLUMN()</f>
        <v>54</v>
      </c>
      <c r="BC2" s="3">
        <f>COLUMN()</f>
        <v>55</v>
      </c>
    </row>
    <row r="3" spans="1:55" s="22" customFormat="1" ht="15" customHeight="1" x14ac:dyDescent="0.25">
      <c r="A3" s="23">
        <v>20202330</v>
      </c>
      <c r="B3" s="1" t="s">
        <v>52</v>
      </c>
      <c r="C3" s="1" t="s">
        <v>53</v>
      </c>
      <c r="D3" s="1" t="s">
        <v>54</v>
      </c>
      <c r="E3" s="24">
        <v>351983071547139</v>
      </c>
      <c r="F3" s="24" t="s">
        <v>55</v>
      </c>
      <c r="G3" s="24" t="s">
        <v>56</v>
      </c>
      <c r="H3" s="25">
        <v>44068</v>
      </c>
      <c r="I3" s="24">
        <v>83057000000240</v>
      </c>
      <c r="J3" s="24">
        <v>100</v>
      </c>
      <c r="K3" s="1"/>
      <c r="L3" s="26">
        <v>43963</v>
      </c>
      <c r="M3" s="27">
        <f ca="1">IF(AND(L3="",AH3=""),"",IF(OR(AH3=""),TODAY()-L3,IF(AND(L3="",N3="YES"),"TD",IF(OR(AH3-L3&gt;365),"NW",AH3-L3))))</f>
        <v>111</v>
      </c>
      <c r="N3" s="1" t="s">
        <v>57</v>
      </c>
      <c r="O3" s="1" t="s">
        <v>58</v>
      </c>
      <c r="P3" s="1" t="s">
        <v>59</v>
      </c>
      <c r="Q3" s="1" t="s">
        <v>60</v>
      </c>
      <c r="R3" s="28" t="s">
        <v>61</v>
      </c>
      <c r="S3" s="1" t="s">
        <v>62</v>
      </c>
      <c r="T3" s="1"/>
      <c r="U3" s="1" t="s">
        <v>63</v>
      </c>
      <c r="V3" s="29" t="s">
        <v>64</v>
      </c>
      <c r="W3" s="1"/>
      <c r="X3" s="1"/>
      <c r="Y3" s="1"/>
      <c r="Z3" s="1"/>
      <c r="AA3" s="1"/>
      <c r="AB3" s="24"/>
      <c r="AC3" s="1"/>
      <c r="AD3" s="1"/>
      <c r="AE3" s="1"/>
      <c r="AF3" s="1"/>
      <c r="AG3" s="1"/>
      <c r="AH3" s="26">
        <v>44074</v>
      </c>
      <c r="AI3" s="26"/>
      <c r="AJ3" s="1" t="s">
        <v>65</v>
      </c>
      <c r="AK3" s="1"/>
      <c r="AL3" s="1"/>
      <c r="AM3" s="1"/>
      <c r="AN3" s="26"/>
      <c r="AO3" s="26"/>
      <c r="AP3" s="26"/>
      <c r="AQ3" s="26"/>
      <c r="AR3" s="26">
        <v>44075</v>
      </c>
      <c r="AS3" s="26"/>
      <c r="AT3" s="26"/>
      <c r="AU3" s="26"/>
      <c r="AV3" s="26"/>
      <c r="AW3" s="1"/>
      <c r="AX3" s="1"/>
      <c r="AY3" s="1"/>
      <c r="AZ3" s="1"/>
      <c r="BA3" s="30">
        <f t="shared" ref="BA3:BA23" ca="1" si="0">IF(OR(AH3=""),0,IF(OR(AN3=""),(IF(OR(AI3=""),TODAY()-AH3,AI3-AH3)),(IF(OR(AS3=""),TODAY()-AH3,AS3-AH3))))</f>
        <v>33</v>
      </c>
      <c r="BB3" s="1" t="s">
        <v>66</v>
      </c>
      <c r="BC3" s="1"/>
    </row>
    <row r="4" spans="1:55" s="22" customFormat="1" ht="15.75" x14ac:dyDescent="0.25">
      <c r="A4" s="1">
        <v>20202331</v>
      </c>
      <c r="B4" s="1" t="s">
        <v>67</v>
      </c>
      <c r="C4" s="1" t="s">
        <v>68</v>
      </c>
      <c r="D4" s="1" t="s">
        <v>54</v>
      </c>
      <c r="E4" s="24">
        <v>356673060854134</v>
      </c>
      <c r="F4" s="24" t="s">
        <v>69</v>
      </c>
      <c r="G4" s="24" t="s">
        <v>56</v>
      </c>
      <c r="H4" s="25">
        <v>44068</v>
      </c>
      <c r="I4" s="24">
        <v>83057000000240</v>
      </c>
      <c r="J4" s="24"/>
      <c r="K4" s="1"/>
      <c r="L4" s="26">
        <v>43990</v>
      </c>
      <c r="M4" s="27">
        <f ca="1">IF(AND(L4="",AH4=""),"",IF(OR(AH4=""),TODAY()-L4,IF(AND(L4="",N4="YES"),"TD",IF(OR(AH4-L4&gt;365),"NW",AH4-L4))))</f>
        <v>84</v>
      </c>
      <c r="N4" s="1" t="s">
        <v>57</v>
      </c>
      <c r="O4" s="1" t="s">
        <v>58</v>
      </c>
      <c r="P4" s="1" t="s">
        <v>59</v>
      </c>
      <c r="Q4" s="1" t="s">
        <v>60</v>
      </c>
      <c r="R4" s="28" t="s">
        <v>61</v>
      </c>
      <c r="S4" s="1" t="s">
        <v>70</v>
      </c>
      <c r="T4" s="1" t="s">
        <v>71</v>
      </c>
      <c r="U4" s="1"/>
      <c r="V4" s="29" t="s">
        <v>64</v>
      </c>
      <c r="W4" s="1"/>
      <c r="X4" s="1"/>
      <c r="Y4" s="1"/>
      <c r="Z4" s="1"/>
      <c r="AA4" s="1"/>
      <c r="AB4" s="24"/>
      <c r="AC4" s="1"/>
      <c r="AD4" s="1"/>
      <c r="AE4" s="1"/>
      <c r="AF4" s="1"/>
      <c r="AG4" s="1"/>
      <c r="AH4" s="26">
        <v>44074</v>
      </c>
      <c r="AI4" s="26"/>
      <c r="AJ4" s="1" t="s">
        <v>65</v>
      </c>
      <c r="AK4" s="1"/>
      <c r="AL4" s="1"/>
      <c r="AM4" s="1"/>
      <c r="AN4" s="26"/>
      <c r="AO4" s="26"/>
      <c r="AP4" s="26"/>
      <c r="AQ4" s="26"/>
      <c r="AR4" s="26">
        <v>44075</v>
      </c>
      <c r="AS4" s="26"/>
      <c r="AT4" s="26"/>
      <c r="AU4" s="26"/>
      <c r="AV4" s="26"/>
      <c r="AW4" s="1"/>
      <c r="AX4" s="1"/>
      <c r="AY4" s="1"/>
      <c r="AZ4" s="1"/>
      <c r="BA4" s="30">
        <f t="shared" ca="1" si="0"/>
        <v>33</v>
      </c>
      <c r="BB4" s="1" t="s">
        <v>66</v>
      </c>
      <c r="BC4" s="1"/>
    </row>
    <row r="5" spans="1:55" s="22" customFormat="1" ht="15.75" x14ac:dyDescent="0.25">
      <c r="A5" s="1">
        <v>20202332</v>
      </c>
      <c r="B5" s="1" t="s">
        <v>72</v>
      </c>
      <c r="C5" s="1" t="s">
        <v>73</v>
      </c>
      <c r="D5" s="1" t="s">
        <v>54</v>
      </c>
      <c r="E5" s="24">
        <v>352492070476349</v>
      </c>
      <c r="F5" s="24" t="s">
        <v>69</v>
      </c>
      <c r="G5" s="24" t="s">
        <v>56</v>
      </c>
      <c r="H5" s="25">
        <v>44068</v>
      </c>
      <c r="I5" s="24">
        <v>83057000000240</v>
      </c>
      <c r="J5" s="24"/>
      <c r="K5" s="1"/>
      <c r="L5" s="26">
        <v>43991</v>
      </c>
      <c r="M5" s="27">
        <f ca="1">IF(AND(L5="",AH5=""),"",IF(OR(AH5=""),TODAY()-L5,IF(AND(L5="",N5="YES"),"TD",IF(OR(AH5-L5&gt;365),"NW",AH5-L5))))</f>
        <v>83</v>
      </c>
      <c r="N5" s="1" t="s">
        <v>57</v>
      </c>
      <c r="O5" s="1" t="s">
        <v>58</v>
      </c>
      <c r="P5" s="1" t="s">
        <v>59</v>
      </c>
      <c r="Q5" s="1" t="s">
        <v>60</v>
      </c>
      <c r="R5" s="28" t="s">
        <v>61</v>
      </c>
      <c r="S5" s="1" t="s">
        <v>74</v>
      </c>
      <c r="T5" s="1"/>
      <c r="U5" s="1"/>
      <c r="V5" s="29" t="s">
        <v>64</v>
      </c>
      <c r="W5" s="1"/>
      <c r="X5" s="1"/>
      <c r="Y5" s="1"/>
      <c r="Z5" s="1"/>
      <c r="AA5" s="1"/>
      <c r="AB5" s="24"/>
      <c r="AC5" s="1"/>
      <c r="AD5" s="1"/>
      <c r="AE5" s="1"/>
      <c r="AF5" s="1"/>
      <c r="AG5" s="1"/>
      <c r="AH5" s="26">
        <v>44074</v>
      </c>
      <c r="AI5" s="26"/>
      <c r="AJ5" s="1" t="s">
        <v>65</v>
      </c>
      <c r="AK5" s="1"/>
      <c r="AL5" s="1"/>
      <c r="AM5" s="1"/>
      <c r="AN5" s="26"/>
      <c r="AO5" s="26"/>
      <c r="AP5" s="26"/>
      <c r="AQ5" s="26"/>
      <c r="AR5" s="26">
        <v>44075</v>
      </c>
      <c r="AS5" s="26"/>
      <c r="AT5" s="26"/>
      <c r="AU5" s="26"/>
      <c r="AV5" s="26"/>
      <c r="AW5" s="1"/>
      <c r="AX5" s="1"/>
      <c r="AY5" s="1"/>
      <c r="AZ5" s="1"/>
      <c r="BA5" s="30">
        <f t="shared" ca="1" si="0"/>
        <v>33</v>
      </c>
      <c r="BB5" s="1" t="s">
        <v>66</v>
      </c>
      <c r="BC5" s="1"/>
    </row>
    <row r="6" spans="1:55" s="22" customFormat="1" ht="15.75" x14ac:dyDescent="0.25">
      <c r="A6" s="1">
        <v>20202333</v>
      </c>
      <c r="B6" s="1" t="s">
        <v>75</v>
      </c>
      <c r="C6" s="1" t="s">
        <v>53</v>
      </c>
      <c r="D6" s="1" t="s">
        <v>54</v>
      </c>
      <c r="E6" s="24">
        <v>351983071291639</v>
      </c>
      <c r="F6" s="24" t="s">
        <v>55</v>
      </c>
      <c r="G6" s="24" t="s">
        <v>56</v>
      </c>
      <c r="H6" s="25">
        <v>44068</v>
      </c>
      <c r="I6" s="24">
        <v>83057000000240</v>
      </c>
      <c r="J6" s="24"/>
      <c r="K6" s="1"/>
      <c r="L6" s="26">
        <v>44018</v>
      </c>
      <c r="M6" s="27">
        <f t="shared" ref="M6:M23" ca="1" si="1">IF(AND(L6="",AH6=""),"",IF(OR(AH6=""),TODAY()-L6,IF(AND(L6="",N6="YES"),"TD",IF(OR(AH6-L6&gt;365),"NW",AH6-L6))))</f>
        <v>56</v>
      </c>
      <c r="N6" s="1" t="s">
        <v>57</v>
      </c>
      <c r="O6" s="1" t="s">
        <v>58</v>
      </c>
      <c r="P6" s="1" t="s">
        <v>59</v>
      </c>
      <c r="Q6" s="1" t="s">
        <v>60</v>
      </c>
      <c r="R6" s="28" t="s">
        <v>61</v>
      </c>
      <c r="S6" s="1" t="s">
        <v>76</v>
      </c>
      <c r="T6" s="1"/>
      <c r="U6" s="1" t="s">
        <v>77</v>
      </c>
      <c r="V6" s="29" t="s">
        <v>64</v>
      </c>
      <c r="W6" s="1"/>
      <c r="X6" s="1"/>
      <c r="Y6" s="1"/>
      <c r="Z6" s="1"/>
      <c r="AA6" s="1"/>
      <c r="AB6" s="24"/>
      <c r="AC6" s="1"/>
      <c r="AD6" s="1"/>
      <c r="AE6" s="1"/>
      <c r="AF6" s="1"/>
      <c r="AG6" s="1"/>
      <c r="AH6" s="26">
        <v>44074</v>
      </c>
      <c r="AI6" s="26"/>
      <c r="AJ6" s="1" t="s">
        <v>65</v>
      </c>
      <c r="AK6" s="1"/>
      <c r="AL6" s="1"/>
      <c r="AM6" s="1"/>
      <c r="AN6" s="26"/>
      <c r="AO6" s="26"/>
      <c r="AP6" s="26"/>
      <c r="AQ6" s="26"/>
      <c r="AR6" s="26">
        <v>44075</v>
      </c>
      <c r="AS6" s="26"/>
      <c r="AT6" s="26"/>
      <c r="AU6" s="26"/>
      <c r="AV6" s="26"/>
      <c r="AW6" s="1">
        <f>COUNTA("A1:BC1")</f>
        <v>1</v>
      </c>
      <c r="AX6" s="1"/>
      <c r="AY6" s="1"/>
      <c r="AZ6" s="1"/>
      <c r="BA6" s="30">
        <f t="shared" ca="1" si="0"/>
        <v>33</v>
      </c>
      <c r="BB6" s="1" t="s">
        <v>66</v>
      </c>
      <c r="BC6" s="1"/>
    </row>
    <row r="7" spans="1:55" s="22" customFormat="1" ht="15.75" x14ac:dyDescent="0.25">
      <c r="A7" s="1">
        <v>20202334</v>
      </c>
      <c r="B7" s="1" t="s">
        <v>78</v>
      </c>
      <c r="C7" s="1" t="s">
        <v>79</v>
      </c>
      <c r="D7" s="1" t="s">
        <v>54</v>
      </c>
      <c r="E7" s="24">
        <v>358128041464832</v>
      </c>
      <c r="F7" s="24" t="s">
        <v>55</v>
      </c>
      <c r="G7" s="24" t="s">
        <v>56</v>
      </c>
      <c r="H7" s="25">
        <v>44068</v>
      </c>
      <c r="I7" s="24">
        <v>83057000000240</v>
      </c>
      <c r="J7" s="24"/>
      <c r="K7" s="1"/>
      <c r="L7" s="26">
        <v>44027</v>
      </c>
      <c r="M7" s="27">
        <f t="shared" ca="1" si="1"/>
        <v>47</v>
      </c>
      <c r="N7" s="1" t="s">
        <v>57</v>
      </c>
      <c r="O7" s="1" t="s">
        <v>58</v>
      </c>
      <c r="P7" s="1" t="s">
        <v>59</v>
      </c>
      <c r="Q7" s="1" t="s">
        <v>60</v>
      </c>
      <c r="R7" s="28" t="s">
        <v>61</v>
      </c>
      <c r="S7" s="1" t="s">
        <v>74</v>
      </c>
      <c r="T7" s="1"/>
      <c r="U7" s="1"/>
      <c r="V7" s="29" t="s">
        <v>64</v>
      </c>
      <c r="W7" s="1"/>
      <c r="X7" s="1"/>
      <c r="Y7" s="1"/>
      <c r="Z7" s="1"/>
      <c r="AA7" s="1"/>
      <c r="AB7" s="24"/>
      <c r="AC7" s="1"/>
      <c r="AD7" s="1"/>
      <c r="AE7" s="1"/>
      <c r="AF7" s="1"/>
      <c r="AG7" s="1"/>
      <c r="AH7" s="26">
        <v>44074</v>
      </c>
      <c r="AI7" s="26"/>
      <c r="AJ7" s="1" t="s">
        <v>65</v>
      </c>
      <c r="AK7" s="1"/>
      <c r="AL7" s="1"/>
      <c r="AM7" s="1"/>
      <c r="AN7" s="26"/>
      <c r="AO7" s="26"/>
      <c r="AP7" s="26"/>
      <c r="AQ7" s="26"/>
      <c r="AR7" s="26">
        <v>44075</v>
      </c>
      <c r="AS7" s="26"/>
      <c r="AT7" s="26"/>
      <c r="AU7" s="26"/>
      <c r="AV7" s="26"/>
      <c r="AW7" s="1">
        <f>COUNTA(A1:BC1)</f>
        <v>55</v>
      </c>
      <c r="AX7" s="1"/>
      <c r="AY7" s="1"/>
      <c r="AZ7" s="1"/>
      <c r="BA7" s="30">
        <f t="shared" ca="1" si="0"/>
        <v>33</v>
      </c>
      <c r="BB7" s="1" t="s">
        <v>66</v>
      </c>
      <c r="BC7" s="1"/>
    </row>
    <row r="8" spans="1:55" s="22" customFormat="1" ht="15.75" x14ac:dyDescent="0.25">
      <c r="A8" s="1">
        <v>20202335</v>
      </c>
      <c r="B8" s="1" t="s">
        <v>80</v>
      </c>
      <c r="C8" s="1" t="s">
        <v>81</v>
      </c>
      <c r="D8" s="1" t="s">
        <v>54</v>
      </c>
      <c r="E8" s="24">
        <v>356763050017873</v>
      </c>
      <c r="F8" s="24" t="s">
        <v>69</v>
      </c>
      <c r="G8" s="24" t="s">
        <v>56</v>
      </c>
      <c r="H8" s="25">
        <v>44068</v>
      </c>
      <c r="I8" s="24">
        <v>83057000000240</v>
      </c>
      <c r="J8" s="24"/>
      <c r="K8" s="1"/>
      <c r="L8" s="26">
        <v>43789</v>
      </c>
      <c r="M8" s="27">
        <f t="shared" ca="1" si="1"/>
        <v>285</v>
      </c>
      <c r="N8" s="1" t="s">
        <v>57</v>
      </c>
      <c r="O8" s="1" t="s">
        <v>58</v>
      </c>
      <c r="P8" s="1" t="s">
        <v>59</v>
      </c>
      <c r="Q8" s="1" t="s">
        <v>60</v>
      </c>
      <c r="R8" s="28" t="s">
        <v>61</v>
      </c>
      <c r="S8" s="1" t="s">
        <v>70</v>
      </c>
      <c r="T8" s="1"/>
      <c r="U8" s="1" t="s">
        <v>82</v>
      </c>
      <c r="V8" s="29" t="s">
        <v>64</v>
      </c>
      <c r="W8" s="1"/>
      <c r="X8" s="26"/>
      <c r="Y8" s="1"/>
      <c r="Z8" s="1"/>
      <c r="AA8" s="1"/>
      <c r="AB8" s="24"/>
      <c r="AC8" s="1"/>
      <c r="AD8" s="1"/>
      <c r="AE8" s="1"/>
      <c r="AF8" s="1"/>
      <c r="AG8" s="1"/>
      <c r="AH8" s="26">
        <v>44074</v>
      </c>
      <c r="AI8" s="26"/>
      <c r="AJ8" s="1" t="s">
        <v>65</v>
      </c>
      <c r="AK8" s="1"/>
      <c r="AL8" s="1"/>
      <c r="AM8" s="1"/>
      <c r="AN8" s="26"/>
      <c r="AO8" s="26"/>
      <c r="AP8" s="26"/>
      <c r="AQ8" s="26"/>
      <c r="AR8" s="26">
        <v>44075</v>
      </c>
      <c r="AS8" s="26"/>
      <c r="AT8" s="26"/>
      <c r="AU8" s="26"/>
      <c r="AV8" s="26"/>
      <c r="AW8" s="1"/>
      <c r="AX8" s="1"/>
      <c r="AY8" s="1"/>
      <c r="AZ8" s="1"/>
      <c r="BA8" s="30">
        <f t="shared" ca="1" si="0"/>
        <v>33</v>
      </c>
      <c r="BB8" s="1" t="s">
        <v>66</v>
      </c>
      <c r="BC8" s="1"/>
    </row>
    <row r="9" spans="1:55" s="22" customFormat="1" ht="15.75" x14ac:dyDescent="0.25">
      <c r="A9" s="1">
        <v>20202336</v>
      </c>
      <c r="B9" s="1" t="s">
        <v>83</v>
      </c>
      <c r="C9" s="1" t="s">
        <v>84</v>
      </c>
      <c r="D9" s="1" t="s">
        <v>54</v>
      </c>
      <c r="E9" s="24">
        <v>358132040090242</v>
      </c>
      <c r="F9" s="24" t="s">
        <v>85</v>
      </c>
      <c r="G9" s="24" t="s">
        <v>56</v>
      </c>
      <c r="H9" s="25">
        <v>44068</v>
      </c>
      <c r="I9" s="24">
        <v>83057000000240</v>
      </c>
      <c r="J9" s="24"/>
      <c r="K9" s="1"/>
      <c r="L9" s="26"/>
      <c r="M9" s="27" t="str">
        <f t="shared" ca="1" si="1"/>
        <v>NW</v>
      </c>
      <c r="N9" s="1" t="s">
        <v>86</v>
      </c>
      <c r="O9" s="1" t="s">
        <v>58</v>
      </c>
      <c r="P9" s="1" t="s">
        <v>59</v>
      </c>
      <c r="Q9" s="1" t="s">
        <v>60</v>
      </c>
      <c r="R9" s="28" t="s">
        <v>61</v>
      </c>
      <c r="S9" s="1" t="s">
        <v>87</v>
      </c>
      <c r="T9" s="1" t="s">
        <v>88</v>
      </c>
      <c r="U9" s="1" t="s">
        <v>89</v>
      </c>
      <c r="V9" s="29" t="s">
        <v>64</v>
      </c>
      <c r="W9" s="1"/>
      <c r="X9" s="1"/>
      <c r="Y9" s="1"/>
      <c r="Z9" s="1"/>
      <c r="AA9" s="1"/>
      <c r="AB9" s="24"/>
      <c r="AC9" s="1"/>
      <c r="AD9" s="1"/>
      <c r="AE9" s="1"/>
      <c r="AF9" s="1"/>
      <c r="AG9" s="1"/>
      <c r="AH9" s="26">
        <v>44074</v>
      </c>
      <c r="AI9" s="26"/>
      <c r="AJ9" s="1" t="s">
        <v>65</v>
      </c>
      <c r="AK9" s="1"/>
      <c r="AL9" s="1"/>
      <c r="AM9" s="1"/>
      <c r="AN9" s="26"/>
      <c r="AO9" s="26"/>
      <c r="AP9" s="26"/>
      <c r="AQ9" s="26"/>
      <c r="AR9" s="26">
        <v>44075</v>
      </c>
      <c r="AS9" s="26"/>
      <c r="AT9" s="26"/>
      <c r="AU9" s="26"/>
      <c r="AV9" s="26"/>
      <c r="AW9" s="1"/>
      <c r="AX9" s="1"/>
      <c r="AY9" s="1"/>
      <c r="AZ9" s="1"/>
      <c r="BA9" s="30">
        <f t="shared" ca="1" si="0"/>
        <v>33</v>
      </c>
      <c r="BB9" s="1" t="s">
        <v>66</v>
      </c>
      <c r="BC9" s="1"/>
    </row>
    <row r="10" spans="1:55" s="22" customFormat="1" ht="15.75" x14ac:dyDescent="0.25">
      <c r="A10" s="1">
        <v>20202337</v>
      </c>
      <c r="B10" s="1" t="s">
        <v>90</v>
      </c>
      <c r="C10" s="1" t="s">
        <v>91</v>
      </c>
      <c r="D10" s="1" t="s">
        <v>54</v>
      </c>
      <c r="E10" s="24">
        <v>357450070084609</v>
      </c>
      <c r="F10" s="24" t="s">
        <v>85</v>
      </c>
      <c r="G10" s="24" t="s">
        <v>56</v>
      </c>
      <c r="H10" s="25">
        <v>44067</v>
      </c>
      <c r="I10" s="24">
        <v>80136000008576</v>
      </c>
      <c r="J10" s="24">
        <v>60</v>
      </c>
      <c r="K10" s="1"/>
      <c r="L10" s="26"/>
      <c r="M10" s="27" t="s">
        <v>92</v>
      </c>
      <c r="N10" s="1" t="s">
        <v>86</v>
      </c>
      <c r="O10" s="1" t="s">
        <v>93</v>
      </c>
      <c r="P10" s="1" t="s">
        <v>59</v>
      </c>
      <c r="Q10" s="1" t="s">
        <v>94</v>
      </c>
      <c r="R10" s="28" t="s">
        <v>95</v>
      </c>
      <c r="S10" s="1" t="s">
        <v>62</v>
      </c>
      <c r="T10" s="1"/>
      <c r="U10" s="1"/>
      <c r="V10" s="29" t="s">
        <v>64</v>
      </c>
      <c r="W10" s="1"/>
      <c r="X10" s="1"/>
      <c r="Y10" s="1"/>
      <c r="Z10" s="1"/>
      <c r="AA10" s="1"/>
      <c r="AB10" s="24"/>
      <c r="AC10" s="1"/>
      <c r="AD10" s="1"/>
      <c r="AE10" s="1"/>
      <c r="AF10" s="1"/>
      <c r="AG10" s="1"/>
      <c r="AH10" s="26">
        <v>44074</v>
      </c>
      <c r="AI10" s="26"/>
      <c r="AJ10" s="1" t="s">
        <v>65</v>
      </c>
      <c r="AK10" s="1"/>
      <c r="AL10" s="1"/>
      <c r="AM10" s="1"/>
      <c r="AN10" s="26"/>
      <c r="AO10" s="26"/>
      <c r="AP10" s="26"/>
      <c r="AQ10" s="26"/>
      <c r="AR10" s="26">
        <v>44075</v>
      </c>
      <c r="AS10" s="26"/>
      <c r="AT10" s="26"/>
      <c r="AU10" s="26"/>
      <c r="AV10" s="26"/>
      <c r="AW10" s="1"/>
      <c r="AX10" s="1"/>
      <c r="AY10" s="1"/>
      <c r="AZ10" s="1"/>
      <c r="BA10" s="30">
        <f t="shared" ca="1" si="0"/>
        <v>33</v>
      </c>
      <c r="BB10" s="1" t="s">
        <v>66</v>
      </c>
      <c r="BC10" s="1"/>
    </row>
    <row r="11" spans="1:55" s="22" customFormat="1" ht="15.75" x14ac:dyDescent="0.25">
      <c r="A11" s="1">
        <v>20202338</v>
      </c>
      <c r="B11" s="1" t="s">
        <v>96</v>
      </c>
      <c r="C11" s="1" t="s">
        <v>53</v>
      </c>
      <c r="D11" s="1" t="s">
        <v>251</v>
      </c>
      <c r="E11" s="24">
        <v>351983071010393</v>
      </c>
      <c r="F11" s="24" t="s">
        <v>69</v>
      </c>
      <c r="G11" s="24" t="s">
        <v>56</v>
      </c>
      <c r="H11" s="25">
        <v>44067</v>
      </c>
      <c r="I11" s="24">
        <v>80136000008576</v>
      </c>
      <c r="J11" s="24"/>
      <c r="K11" s="1"/>
      <c r="L11" s="26">
        <v>44019</v>
      </c>
      <c r="M11" s="27" t="s">
        <v>97</v>
      </c>
      <c r="N11" s="1" t="s">
        <v>57</v>
      </c>
      <c r="O11" s="1" t="s">
        <v>93</v>
      </c>
      <c r="P11" s="1" t="s">
        <v>59</v>
      </c>
      <c r="Q11" s="1" t="s">
        <v>94</v>
      </c>
      <c r="R11" s="28" t="s">
        <v>95</v>
      </c>
      <c r="S11" s="1" t="s">
        <v>98</v>
      </c>
      <c r="T11" s="1" t="s">
        <v>71</v>
      </c>
      <c r="U11" s="1" t="s">
        <v>99</v>
      </c>
      <c r="V11" s="29" t="s">
        <v>64</v>
      </c>
      <c r="W11" s="1"/>
      <c r="X11" s="1"/>
      <c r="Y11" s="1"/>
      <c r="Z11" s="1"/>
      <c r="AA11" s="1"/>
      <c r="AB11" s="24"/>
      <c r="AC11" s="1"/>
      <c r="AD11" s="1"/>
      <c r="AE11" s="1"/>
      <c r="AF11" s="1"/>
      <c r="AG11" s="1"/>
      <c r="AH11" s="26">
        <v>44074</v>
      </c>
      <c r="AI11" s="26"/>
      <c r="AJ11" s="1" t="s">
        <v>65</v>
      </c>
      <c r="AK11" s="1"/>
      <c r="AL11" s="1"/>
      <c r="AM11" s="1"/>
      <c r="AN11" s="26"/>
      <c r="AO11" s="26"/>
      <c r="AP11" s="26"/>
      <c r="AQ11" s="26"/>
      <c r="AR11" s="26">
        <v>44075</v>
      </c>
      <c r="AS11" s="26"/>
      <c r="AT11" s="26"/>
      <c r="AU11" s="26"/>
      <c r="AV11" s="26"/>
      <c r="AW11" s="1"/>
      <c r="AX11" s="1"/>
      <c r="AY11" s="1"/>
      <c r="AZ11" s="1"/>
      <c r="BA11" s="30">
        <f t="shared" ca="1" si="0"/>
        <v>33</v>
      </c>
      <c r="BB11" s="1" t="s">
        <v>66</v>
      </c>
      <c r="BC11" s="1"/>
    </row>
    <row r="12" spans="1:55" s="22" customFormat="1" ht="15.75" x14ac:dyDescent="0.25">
      <c r="A12" s="1">
        <v>20202339</v>
      </c>
      <c r="B12" s="1" t="s">
        <v>100</v>
      </c>
      <c r="C12" s="1" t="s">
        <v>101</v>
      </c>
      <c r="D12" s="1" t="s">
        <v>54</v>
      </c>
      <c r="E12" s="24">
        <v>354634110418108</v>
      </c>
      <c r="F12" s="24" t="s">
        <v>69</v>
      </c>
      <c r="G12" s="24" t="s">
        <v>56</v>
      </c>
      <c r="H12" s="25">
        <v>44067</v>
      </c>
      <c r="I12" s="24">
        <v>80136000008576</v>
      </c>
      <c r="J12" s="24"/>
      <c r="K12" s="1"/>
      <c r="L12" s="26">
        <v>43969</v>
      </c>
      <c r="M12" s="27">
        <f t="shared" ca="1" si="1"/>
        <v>105</v>
      </c>
      <c r="N12" s="1" t="s">
        <v>57</v>
      </c>
      <c r="O12" s="1" t="s">
        <v>93</v>
      </c>
      <c r="P12" s="1" t="s">
        <v>59</v>
      </c>
      <c r="Q12" s="1" t="s">
        <v>94</v>
      </c>
      <c r="R12" s="28" t="s">
        <v>95</v>
      </c>
      <c r="S12" s="1" t="s">
        <v>74</v>
      </c>
      <c r="T12" s="1"/>
      <c r="U12" s="1"/>
      <c r="V12" s="29" t="s">
        <v>64</v>
      </c>
      <c r="W12" s="1"/>
      <c r="X12" s="26"/>
      <c r="Y12" s="1"/>
      <c r="Z12" s="1"/>
      <c r="AA12" s="1"/>
      <c r="AB12" s="24"/>
      <c r="AC12" s="1"/>
      <c r="AD12" s="1"/>
      <c r="AE12" s="1"/>
      <c r="AF12" s="1"/>
      <c r="AG12" s="1"/>
      <c r="AH12" s="26">
        <v>44074</v>
      </c>
      <c r="AI12" s="26"/>
      <c r="AJ12" s="1" t="s">
        <v>65</v>
      </c>
      <c r="AK12" s="1"/>
      <c r="AL12" s="1"/>
      <c r="AM12" s="1"/>
      <c r="AN12" s="26"/>
      <c r="AO12" s="26"/>
      <c r="AP12" s="26"/>
      <c r="AQ12" s="26"/>
      <c r="AR12" s="26">
        <v>44075</v>
      </c>
      <c r="AS12" s="26"/>
      <c r="AT12" s="26"/>
      <c r="AU12" s="26"/>
      <c r="AV12" s="26"/>
      <c r="AW12" s="1"/>
      <c r="AX12" s="1"/>
      <c r="AY12" s="1"/>
      <c r="AZ12" s="1"/>
      <c r="BA12" s="30">
        <f t="shared" ca="1" si="0"/>
        <v>33</v>
      </c>
      <c r="BB12" s="1" t="s">
        <v>66</v>
      </c>
      <c r="BC12" s="1"/>
    </row>
    <row r="13" spans="1:55" s="22" customFormat="1" ht="15.75" x14ac:dyDescent="0.25">
      <c r="A13" s="1">
        <v>20202340</v>
      </c>
      <c r="B13" s="1" t="s">
        <v>102</v>
      </c>
      <c r="C13" s="1" t="s">
        <v>103</v>
      </c>
      <c r="D13" s="1" t="s">
        <v>54</v>
      </c>
      <c r="E13" s="24">
        <v>358123040013987</v>
      </c>
      <c r="F13" s="24" t="s">
        <v>104</v>
      </c>
      <c r="G13" s="24" t="s">
        <v>56</v>
      </c>
      <c r="H13" s="25">
        <v>44067</v>
      </c>
      <c r="I13" s="24">
        <v>80136000008576</v>
      </c>
      <c r="J13" s="24"/>
      <c r="K13" s="1"/>
      <c r="L13" s="26">
        <v>43960</v>
      </c>
      <c r="M13" s="27">
        <f t="shared" ca="1" si="1"/>
        <v>114</v>
      </c>
      <c r="N13" s="1" t="s">
        <v>105</v>
      </c>
      <c r="O13" s="1" t="s">
        <v>106</v>
      </c>
      <c r="P13" s="1" t="s">
        <v>59</v>
      </c>
      <c r="Q13" s="1" t="s">
        <v>94</v>
      </c>
      <c r="R13" s="28" t="s">
        <v>95</v>
      </c>
      <c r="S13" s="1" t="s">
        <v>71</v>
      </c>
      <c r="T13" s="1" t="s">
        <v>107</v>
      </c>
      <c r="U13" s="1"/>
      <c r="V13" s="29" t="s">
        <v>64</v>
      </c>
      <c r="W13" s="1"/>
      <c r="X13" s="1"/>
      <c r="Y13" s="1"/>
      <c r="Z13" s="1"/>
      <c r="AA13" s="1"/>
      <c r="AB13" s="24"/>
      <c r="AC13" s="1"/>
      <c r="AD13" s="1"/>
      <c r="AE13" s="1"/>
      <c r="AF13" s="1"/>
      <c r="AG13" s="1"/>
      <c r="AH13" s="26">
        <v>44074</v>
      </c>
      <c r="AI13" s="26"/>
      <c r="AJ13" s="1" t="s">
        <v>65</v>
      </c>
      <c r="AK13" s="1"/>
      <c r="AL13" s="1"/>
      <c r="AM13" s="1"/>
      <c r="AN13" s="26"/>
      <c r="AO13" s="26"/>
      <c r="AP13" s="26"/>
      <c r="AQ13" s="26"/>
      <c r="AR13" s="26">
        <v>44075</v>
      </c>
      <c r="AS13" s="26"/>
      <c r="AT13" s="26"/>
      <c r="AU13" s="26"/>
      <c r="AV13" s="26"/>
      <c r="AW13" s="1"/>
      <c r="AX13" s="1"/>
      <c r="AY13" s="1"/>
      <c r="AZ13" s="1"/>
      <c r="BA13" s="30">
        <f t="shared" ca="1" si="0"/>
        <v>33</v>
      </c>
      <c r="BB13" s="1" t="s">
        <v>66</v>
      </c>
      <c r="BC13" s="1"/>
    </row>
    <row r="14" spans="1:55" s="22" customFormat="1" ht="15.75" x14ac:dyDescent="0.25">
      <c r="A14" s="1">
        <v>20202341</v>
      </c>
      <c r="B14" s="1" t="s">
        <v>108</v>
      </c>
      <c r="C14" s="1" t="s">
        <v>109</v>
      </c>
      <c r="D14" s="1" t="s">
        <v>54</v>
      </c>
      <c r="E14" s="24">
        <v>356526060132465</v>
      </c>
      <c r="F14" s="24" t="s">
        <v>85</v>
      </c>
      <c r="G14" s="24" t="s">
        <v>56</v>
      </c>
      <c r="H14" s="25">
        <v>44067</v>
      </c>
      <c r="I14" s="24">
        <v>80136000008576</v>
      </c>
      <c r="J14" s="24"/>
      <c r="K14" s="1"/>
      <c r="L14" s="26"/>
      <c r="M14" s="27" t="str">
        <f t="shared" ca="1" si="1"/>
        <v>NW</v>
      </c>
      <c r="N14" s="1" t="s">
        <v>86</v>
      </c>
      <c r="O14" s="1" t="s">
        <v>106</v>
      </c>
      <c r="P14" s="1" t="s">
        <v>59</v>
      </c>
      <c r="Q14" s="1" t="s">
        <v>94</v>
      </c>
      <c r="R14" s="28" t="s">
        <v>95</v>
      </c>
      <c r="S14" s="1" t="s">
        <v>107</v>
      </c>
      <c r="T14" s="1"/>
      <c r="U14" s="1"/>
      <c r="V14" s="29" t="s">
        <v>64</v>
      </c>
      <c r="W14" s="1"/>
      <c r="X14" s="1"/>
      <c r="Y14" s="1"/>
      <c r="Z14" s="1"/>
      <c r="AA14" s="1"/>
      <c r="AB14" s="24"/>
      <c r="AC14" s="1"/>
      <c r="AD14" s="1"/>
      <c r="AE14" s="1"/>
      <c r="AF14" s="1"/>
      <c r="AG14" s="1"/>
      <c r="AH14" s="26">
        <v>44074</v>
      </c>
      <c r="AI14" s="26"/>
      <c r="AJ14" s="1" t="s">
        <v>65</v>
      </c>
      <c r="AK14" s="1"/>
      <c r="AL14" s="1"/>
      <c r="AM14" s="1"/>
      <c r="AN14" s="26"/>
      <c r="AO14" s="26"/>
      <c r="AP14" s="26"/>
      <c r="AQ14" s="26"/>
      <c r="AR14" s="26">
        <v>44075</v>
      </c>
      <c r="AS14" s="26"/>
      <c r="AT14" s="26"/>
      <c r="AU14" s="26"/>
      <c r="AV14" s="26"/>
      <c r="AW14" s="1"/>
      <c r="AX14" s="1"/>
      <c r="AY14" s="1"/>
      <c r="AZ14" s="1"/>
      <c r="BA14" s="30">
        <f t="shared" ca="1" si="0"/>
        <v>33</v>
      </c>
      <c r="BB14" s="1" t="s">
        <v>66</v>
      </c>
      <c r="BC14" s="1"/>
    </row>
    <row r="15" spans="1:55" s="22" customFormat="1" ht="15.75" x14ac:dyDescent="0.25">
      <c r="A15" s="1">
        <v>20202342</v>
      </c>
      <c r="B15" s="1" t="s">
        <v>110</v>
      </c>
      <c r="C15" s="1" t="s">
        <v>111</v>
      </c>
      <c r="D15" s="1" t="s">
        <v>112</v>
      </c>
      <c r="E15" s="24">
        <v>359899090071129</v>
      </c>
      <c r="F15" s="24" t="s">
        <v>69</v>
      </c>
      <c r="G15" s="24" t="s">
        <v>56</v>
      </c>
      <c r="H15" s="25"/>
      <c r="I15" s="24">
        <v>80136000008576</v>
      </c>
      <c r="J15" s="24"/>
      <c r="K15" s="1"/>
      <c r="L15" s="26">
        <v>43963</v>
      </c>
      <c r="M15" s="27">
        <f t="shared" ca="1" si="1"/>
        <v>111</v>
      </c>
      <c r="N15" s="1" t="s">
        <v>57</v>
      </c>
      <c r="O15" s="1" t="s">
        <v>106</v>
      </c>
      <c r="P15" s="1" t="s">
        <v>59</v>
      </c>
      <c r="Q15" s="1" t="s">
        <v>94</v>
      </c>
      <c r="R15" s="28" t="s">
        <v>95</v>
      </c>
      <c r="S15" s="1" t="s">
        <v>74</v>
      </c>
      <c r="T15" s="1" t="s">
        <v>70</v>
      </c>
      <c r="U15" s="1"/>
      <c r="V15" s="29" t="s">
        <v>64</v>
      </c>
      <c r="W15" s="1"/>
      <c r="X15" s="1"/>
      <c r="Y15" s="1"/>
      <c r="Z15" s="1"/>
      <c r="AA15" s="1"/>
      <c r="AB15" s="24"/>
      <c r="AC15" s="1"/>
      <c r="AD15" s="1"/>
      <c r="AE15" s="1"/>
      <c r="AF15" s="1"/>
      <c r="AG15" s="1"/>
      <c r="AH15" s="26">
        <v>44074</v>
      </c>
      <c r="AI15" s="26"/>
      <c r="AJ15" s="1" t="s">
        <v>65</v>
      </c>
      <c r="AK15" s="1"/>
      <c r="AL15" s="1"/>
      <c r="AM15" s="1"/>
      <c r="AN15" s="26"/>
      <c r="AO15" s="26"/>
      <c r="AP15" s="26"/>
      <c r="AQ15" s="26"/>
      <c r="AR15" s="26">
        <v>44075</v>
      </c>
      <c r="AS15" s="26"/>
      <c r="AT15" s="26"/>
      <c r="AU15" s="26"/>
      <c r="AV15" s="26"/>
      <c r="AW15" s="1"/>
      <c r="AX15" s="1"/>
      <c r="AY15" s="1"/>
      <c r="AZ15" s="1"/>
      <c r="BA15" s="30">
        <f t="shared" ca="1" si="0"/>
        <v>33</v>
      </c>
      <c r="BB15" s="1" t="s">
        <v>66</v>
      </c>
      <c r="BC15" s="1"/>
    </row>
    <row r="16" spans="1:55" s="22" customFormat="1" ht="15.75" x14ac:dyDescent="0.25">
      <c r="A16" s="1">
        <v>20202343</v>
      </c>
      <c r="B16" s="1" t="s">
        <v>113</v>
      </c>
      <c r="C16" s="1" t="s">
        <v>79</v>
      </c>
      <c r="D16" s="1" t="s">
        <v>54</v>
      </c>
      <c r="E16" s="24">
        <v>358128041142834</v>
      </c>
      <c r="F16" s="24" t="s">
        <v>69</v>
      </c>
      <c r="G16" s="24" t="s">
        <v>114</v>
      </c>
      <c r="H16" s="25"/>
      <c r="I16" s="24"/>
      <c r="J16" s="24"/>
      <c r="K16" s="1"/>
      <c r="L16" s="26">
        <v>44045</v>
      </c>
      <c r="M16" s="27">
        <f t="shared" ca="1" si="1"/>
        <v>29</v>
      </c>
      <c r="N16" s="1" t="s">
        <v>57</v>
      </c>
      <c r="O16" s="1" t="s">
        <v>115</v>
      </c>
      <c r="P16" s="1" t="s">
        <v>59</v>
      </c>
      <c r="Q16" s="1" t="s">
        <v>116</v>
      </c>
      <c r="R16" s="28" t="s">
        <v>117</v>
      </c>
      <c r="S16" s="1" t="s">
        <v>89</v>
      </c>
      <c r="T16" s="1"/>
      <c r="U16" s="1" t="s">
        <v>118</v>
      </c>
      <c r="V16" s="29" t="s">
        <v>64</v>
      </c>
      <c r="W16" s="1"/>
      <c r="X16" s="1"/>
      <c r="Y16" s="1"/>
      <c r="Z16" s="1"/>
      <c r="AA16" s="1"/>
      <c r="AB16" s="24"/>
      <c r="AC16" s="1"/>
      <c r="AD16" s="1"/>
      <c r="AE16" s="1"/>
      <c r="AF16" s="1"/>
      <c r="AG16" s="1"/>
      <c r="AH16" s="26">
        <v>44074</v>
      </c>
      <c r="AI16" s="26"/>
      <c r="AJ16" s="1" t="s">
        <v>65</v>
      </c>
      <c r="AK16" s="1"/>
      <c r="AL16" s="1"/>
      <c r="AM16" s="1"/>
      <c r="AN16" s="26"/>
      <c r="AO16" s="26"/>
      <c r="AP16" s="26"/>
      <c r="AQ16" s="26"/>
      <c r="AR16" s="26">
        <v>44075</v>
      </c>
      <c r="AS16" s="26"/>
      <c r="AT16" s="26"/>
      <c r="AU16" s="26"/>
      <c r="AV16" s="26"/>
      <c r="AW16" s="1"/>
      <c r="AX16" s="1"/>
      <c r="AY16" s="1"/>
      <c r="AZ16" s="1"/>
      <c r="BA16" s="30">
        <f t="shared" ca="1" si="0"/>
        <v>33</v>
      </c>
      <c r="BB16" s="1" t="s">
        <v>66</v>
      </c>
      <c r="BC16" s="1"/>
    </row>
    <row r="17" spans="1:55" s="22" customFormat="1" ht="15.75" x14ac:dyDescent="0.25">
      <c r="A17" s="1">
        <v>20202344</v>
      </c>
      <c r="B17" s="1" t="s">
        <v>119</v>
      </c>
      <c r="C17" s="1" t="s">
        <v>120</v>
      </c>
      <c r="D17" s="1" t="s">
        <v>54</v>
      </c>
      <c r="E17" s="24">
        <v>356034070598791</v>
      </c>
      <c r="F17" s="24" t="s">
        <v>69</v>
      </c>
      <c r="G17" s="24" t="s">
        <v>114</v>
      </c>
      <c r="H17" s="25"/>
      <c r="I17" s="24"/>
      <c r="J17" s="24"/>
      <c r="K17" s="1"/>
      <c r="L17" s="26">
        <v>43956</v>
      </c>
      <c r="M17" s="27">
        <f t="shared" ca="1" si="1"/>
        <v>118</v>
      </c>
      <c r="N17" s="1" t="s">
        <v>57</v>
      </c>
      <c r="O17" s="1" t="s">
        <v>115</v>
      </c>
      <c r="P17" s="1" t="s">
        <v>59</v>
      </c>
      <c r="Q17" s="1" t="s">
        <v>116</v>
      </c>
      <c r="R17" s="28" t="s">
        <v>117</v>
      </c>
      <c r="S17" s="1" t="s">
        <v>71</v>
      </c>
      <c r="T17" s="1"/>
      <c r="U17" s="1"/>
      <c r="V17" s="29" t="s">
        <v>64</v>
      </c>
      <c r="W17" s="1"/>
      <c r="X17" s="1"/>
      <c r="Y17" s="1"/>
      <c r="Z17" s="1"/>
      <c r="AA17" s="1"/>
      <c r="AB17" s="24"/>
      <c r="AC17" s="1"/>
      <c r="AD17" s="1"/>
      <c r="AE17" s="1"/>
      <c r="AF17" s="1"/>
      <c r="AG17" s="1"/>
      <c r="AH17" s="26">
        <v>44074</v>
      </c>
      <c r="AI17" s="26"/>
      <c r="AJ17" s="1" t="s">
        <v>65</v>
      </c>
      <c r="AK17" s="1"/>
      <c r="AL17" s="1"/>
      <c r="AM17" s="1"/>
      <c r="AN17" s="26"/>
      <c r="AO17" s="26"/>
      <c r="AP17" s="26"/>
      <c r="AQ17" s="26"/>
      <c r="AR17" s="26">
        <v>44075</v>
      </c>
      <c r="AS17" s="26"/>
      <c r="AT17" s="26"/>
      <c r="AU17" s="26"/>
      <c r="AV17" s="26"/>
      <c r="AW17" s="1"/>
      <c r="AX17" s="1"/>
      <c r="AY17" s="1"/>
      <c r="AZ17" s="1"/>
      <c r="BA17" s="30">
        <f t="shared" ca="1" si="0"/>
        <v>33</v>
      </c>
      <c r="BB17" s="1" t="s">
        <v>66</v>
      </c>
      <c r="BC17" s="1" t="s">
        <v>121</v>
      </c>
    </row>
    <row r="18" spans="1:55" s="22" customFormat="1" ht="15.75" x14ac:dyDescent="0.25">
      <c r="A18" s="1">
        <v>20202345</v>
      </c>
      <c r="B18" s="1" t="s">
        <v>122</v>
      </c>
      <c r="C18" s="1" t="s">
        <v>123</v>
      </c>
      <c r="D18" s="1" t="s">
        <v>54</v>
      </c>
      <c r="E18" s="24">
        <v>358210068979866</v>
      </c>
      <c r="F18" s="24" t="s">
        <v>69</v>
      </c>
      <c r="G18" s="24" t="s">
        <v>114</v>
      </c>
      <c r="H18" s="25"/>
      <c r="I18" s="24"/>
      <c r="J18" s="24"/>
      <c r="K18" s="1"/>
      <c r="L18" s="26">
        <v>43957</v>
      </c>
      <c r="M18" s="27">
        <f t="shared" ca="1" si="1"/>
        <v>117</v>
      </c>
      <c r="N18" s="1" t="s">
        <v>57</v>
      </c>
      <c r="O18" s="1" t="s">
        <v>115</v>
      </c>
      <c r="P18" s="1" t="s">
        <v>59</v>
      </c>
      <c r="Q18" s="1" t="s">
        <v>116</v>
      </c>
      <c r="R18" s="28" t="s">
        <v>117</v>
      </c>
      <c r="S18" s="1" t="s">
        <v>71</v>
      </c>
      <c r="T18" s="1"/>
      <c r="U18" s="1"/>
      <c r="V18" s="29" t="s">
        <v>64</v>
      </c>
      <c r="W18" s="1"/>
      <c r="X18" s="1"/>
      <c r="Y18" s="1"/>
      <c r="Z18" s="1"/>
      <c r="AA18" s="1"/>
      <c r="AB18" s="24"/>
      <c r="AC18" s="1"/>
      <c r="AD18" s="1"/>
      <c r="AE18" s="1"/>
      <c r="AF18" s="1"/>
      <c r="AG18" s="1"/>
      <c r="AH18" s="26">
        <v>44074</v>
      </c>
      <c r="AI18" s="26"/>
      <c r="AJ18" s="1" t="s">
        <v>65</v>
      </c>
      <c r="AK18" s="1"/>
      <c r="AL18" s="1"/>
      <c r="AM18" s="1"/>
      <c r="AN18" s="26"/>
      <c r="AO18" s="26"/>
      <c r="AP18" s="26"/>
      <c r="AQ18" s="26"/>
      <c r="AR18" s="26">
        <v>44075</v>
      </c>
      <c r="AS18" s="26"/>
      <c r="AT18" s="26"/>
      <c r="AU18" s="26"/>
      <c r="AV18" s="26"/>
      <c r="AW18" s="1"/>
      <c r="AX18" s="1"/>
      <c r="AY18" s="1"/>
      <c r="AZ18" s="1"/>
      <c r="BA18" s="30">
        <f t="shared" ca="1" si="0"/>
        <v>33</v>
      </c>
      <c r="BB18" s="1" t="s">
        <v>66</v>
      </c>
      <c r="BC18" s="1"/>
    </row>
    <row r="19" spans="1:55" s="22" customFormat="1" ht="15.75" x14ac:dyDescent="0.25">
      <c r="A19" s="1">
        <v>20202346</v>
      </c>
      <c r="B19" s="1" t="s">
        <v>124</v>
      </c>
      <c r="C19" s="1" t="s">
        <v>68</v>
      </c>
      <c r="D19" s="1" t="s">
        <v>54</v>
      </c>
      <c r="E19" s="24">
        <v>356673060945387</v>
      </c>
      <c r="F19" s="24" t="s">
        <v>85</v>
      </c>
      <c r="G19" s="24" t="s">
        <v>114</v>
      </c>
      <c r="H19" s="25"/>
      <c r="I19" s="24"/>
      <c r="J19" s="24"/>
      <c r="K19" s="1"/>
      <c r="L19" s="26"/>
      <c r="M19" s="27" t="str">
        <f t="shared" ca="1" si="1"/>
        <v>NW</v>
      </c>
      <c r="N19" s="1" t="s">
        <v>86</v>
      </c>
      <c r="O19" s="1" t="s">
        <v>115</v>
      </c>
      <c r="P19" s="1" t="s">
        <v>59</v>
      </c>
      <c r="Q19" s="1" t="s">
        <v>116</v>
      </c>
      <c r="R19" s="28" t="s">
        <v>117</v>
      </c>
      <c r="S19" s="1" t="s">
        <v>107</v>
      </c>
      <c r="T19" s="1"/>
      <c r="U19" s="1"/>
      <c r="V19" s="29" t="s">
        <v>64</v>
      </c>
      <c r="W19" s="1"/>
      <c r="X19" s="1"/>
      <c r="Y19" s="1"/>
      <c r="Z19" s="1"/>
      <c r="AA19" s="1"/>
      <c r="AB19" s="24"/>
      <c r="AC19" s="1"/>
      <c r="AD19" s="1"/>
      <c r="AE19" s="1"/>
      <c r="AF19" s="1"/>
      <c r="AG19" s="1"/>
      <c r="AH19" s="26">
        <v>44074</v>
      </c>
      <c r="AI19" s="26"/>
      <c r="AJ19" s="1" t="s">
        <v>65</v>
      </c>
      <c r="AK19" s="1"/>
      <c r="AL19" s="1"/>
      <c r="AM19" s="1"/>
      <c r="AN19" s="26"/>
      <c r="AO19" s="26"/>
      <c r="AP19" s="26"/>
      <c r="AQ19" s="26"/>
      <c r="AR19" s="26">
        <v>44075</v>
      </c>
      <c r="AS19" s="26"/>
      <c r="AT19" s="26"/>
      <c r="AU19" s="26"/>
      <c r="AV19" s="26"/>
      <c r="AW19" s="1"/>
      <c r="AX19" s="1"/>
      <c r="AY19" s="1"/>
      <c r="AZ19" s="1"/>
      <c r="BA19" s="30">
        <f t="shared" ca="1" si="0"/>
        <v>33</v>
      </c>
      <c r="BB19" s="1" t="s">
        <v>66</v>
      </c>
      <c r="BC19" s="1"/>
    </row>
    <row r="20" spans="1:55" s="22" customFormat="1" ht="15.75" x14ac:dyDescent="0.25">
      <c r="A20" s="1">
        <v>20202347</v>
      </c>
      <c r="B20" s="1" t="s">
        <v>125</v>
      </c>
      <c r="C20" s="1" t="s">
        <v>53</v>
      </c>
      <c r="D20" s="1" t="s">
        <v>54</v>
      </c>
      <c r="E20" s="24">
        <v>351983070618659</v>
      </c>
      <c r="F20" s="24" t="s">
        <v>85</v>
      </c>
      <c r="G20" s="24" t="s">
        <v>114</v>
      </c>
      <c r="H20" s="25"/>
      <c r="I20" s="24"/>
      <c r="J20" s="24"/>
      <c r="K20" s="1"/>
      <c r="L20" s="26"/>
      <c r="M20" s="27" t="str">
        <f t="shared" ca="1" si="1"/>
        <v>NW</v>
      </c>
      <c r="N20" s="1" t="s">
        <v>86</v>
      </c>
      <c r="O20" s="1" t="s">
        <v>115</v>
      </c>
      <c r="P20" s="1" t="s">
        <v>59</v>
      </c>
      <c r="Q20" s="1" t="s">
        <v>116</v>
      </c>
      <c r="R20" s="28" t="s">
        <v>117</v>
      </c>
      <c r="S20" s="1" t="s">
        <v>126</v>
      </c>
      <c r="T20" s="1"/>
      <c r="U20" s="1"/>
      <c r="V20" s="29" t="s">
        <v>64</v>
      </c>
      <c r="W20" s="1"/>
      <c r="X20" s="1"/>
      <c r="Y20" s="1"/>
      <c r="Z20" s="1"/>
      <c r="AA20" s="1"/>
      <c r="AB20" s="24"/>
      <c r="AC20" s="1"/>
      <c r="AD20" s="1"/>
      <c r="AE20" s="1"/>
      <c r="AF20" s="1"/>
      <c r="AG20" s="1"/>
      <c r="AH20" s="26">
        <v>44074</v>
      </c>
      <c r="AI20" s="26"/>
      <c r="AJ20" s="1" t="s">
        <v>65</v>
      </c>
      <c r="AK20" s="1"/>
      <c r="AL20" s="1"/>
      <c r="AM20" s="1"/>
      <c r="AN20" s="26"/>
      <c r="AO20" s="26"/>
      <c r="AP20" s="26"/>
      <c r="AQ20" s="26"/>
      <c r="AR20" s="26">
        <v>44075</v>
      </c>
      <c r="AS20" s="26"/>
      <c r="AT20" s="26"/>
      <c r="AU20" s="26"/>
      <c r="AV20" s="26"/>
      <c r="AW20" s="1"/>
      <c r="AX20" s="1"/>
      <c r="AY20" s="1"/>
      <c r="AZ20" s="1"/>
      <c r="BA20" s="30">
        <f t="shared" ca="1" si="0"/>
        <v>33</v>
      </c>
      <c r="BB20" s="1" t="s">
        <v>66</v>
      </c>
      <c r="BC20" s="1"/>
    </row>
    <row r="21" spans="1:55" s="22" customFormat="1" ht="15.75" x14ac:dyDescent="0.25">
      <c r="A21" s="1">
        <v>20202348</v>
      </c>
      <c r="B21" s="1" t="s">
        <v>127</v>
      </c>
      <c r="C21" s="1" t="s">
        <v>79</v>
      </c>
      <c r="D21" s="1" t="s">
        <v>54</v>
      </c>
      <c r="E21" s="24">
        <v>358128041496537</v>
      </c>
      <c r="F21" s="24" t="s">
        <v>85</v>
      </c>
      <c r="G21" s="24" t="s">
        <v>114</v>
      </c>
      <c r="H21" s="25"/>
      <c r="I21" s="24"/>
      <c r="J21" s="24"/>
      <c r="K21" s="1"/>
      <c r="L21" s="26"/>
      <c r="M21" s="27" t="str">
        <f t="shared" ca="1" si="1"/>
        <v>NW</v>
      </c>
      <c r="N21" s="1" t="s">
        <v>86</v>
      </c>
      <c r="O21" s="1" t="s">
        <v>115</v>
      </c>
      <c r="P21" s="1" t="s">
        <v>59</v>
      </c>
      <c r="Q21" s="1" t="s">
        <v>116</v>
      </c>
      <c r="R21" s="28" t="s">
        <v>117</v>
      </c>
      <c r="S21" s="1" t="s">
        <v>74</v>
      </c>
      <c r="T21" s="1" t="s">
        <v>126</v>
      </c>
      <c r="U21" s="1"/>
      <c r="V21" s="29" t="s">
        <v>64</v>
      </c>
      <c r="W21" s="1"/>
      <c r="X21" s="1"/>
      <c r="Y21" s="1"/>
      <c r="Z21" s="1"/>
      <c r="AA21" s="1"/>
      <c r="AB21" s="24"/>
      <c r="AC21" s="1"/>
      <c r="AD21" s="1"/>
      <c r="AE21" s="1"/>
      <c r="AF21" s="1"/>
      <c r="AG21" s="1"/>
      <c r="AH21" s="26">
        <v>44074</v>
      </c>
      <c r="AI21" s="26"/>
      <c r="AJ21" s="1" t="s">
        <v>65</v>
      </c>
      <c r="AK21" s="1"/>
      <c r="AL21" s="1"/>
      <c r="AM21" s="1"/>
      <c r="AN21" s="26"/>
      <c r="AO21" s="26"/>
      <c r="AP21" s="26"/>
      <c r="AQ21" s="26"/>
      <c r="AR21" s="26">
        <v>44075</v>
      </c>
      <c r="AS21" s="26"/>
      <c r="AT21" s="26"/>
      <c r="AU21" s="26"/>
      <c r="AV21" s="26"/>
      <c r="AW21" s="1"/>
      <c r="AX21" s="1"/>
      <c r="AY21" s="1"/>
      <c r="AZ21" s="1"/>
      <c r="BA21" s="30">
        <f t="shared" ca="1" si="0"/>
        <v>33</v>
      </c>
      <c r="BB21" s="1" t="s">
        <v>66</v>
      </c>
      <c r="BC21" s="1"/>
    </row>
    <row r="22" spans="1:55" s="22" customFormat="1" ht="15.75" x14ac:dyDescent="0.25">
      <c r="A22" s="1">
        <v>20202349</v>
      </c>
      <c r="B22" s="1" t="s">
        <v>128</v>
      </c>
      <c r="C22" s="1" t="s">
        <v>129</v>
      </c>
      <c r="D22" s="1" t="s">
        <v>54</v>
      </c>
      <c r="E22" s="24">
        <v>358125040887450</v>
      </c>
      <c r="F22" s="24" t="s">
        <v>85</v>
      </c>
      <c r="G22" s="24" t="s">
        <v>114</v>
      </c>
      <c r="H22" s="25"/>
      <c r="I22" s="24"/>
      <c r="J22" s="24"/>
      <c r="K22" s="1"/>
      <c r="L22" s="26"/>
      <c r="M22" s="27" t="str">
        <f t="shared" ca="1" si="1"/>
        <v>NW</v>
      </c>
      <c r="N22" s="1" t="s">
        <v>86</v>
      </c>
      <c r="O22" s="1" t="s">
        <v>115</v>
      </c>
      <c r="P22" s="1" t="s">
        <v>59</v>
      </c>
      <c r="Q22" s="1" t="s">
        <v>116</v>
      </c>
      <c r="R22" s="28" t="s">
        <v>117</v>
      </c>
      <c r="S22" s="1" t="s">
        <v>107</v>
      </c>
      <c r="T22" s="1"/>
      <c r="U22" s="1"/>
      <c r="V22" s="29" t="s">
        <v>64</v>
      </c>
      <c r="W22" s="1"/>
      <c r="X22" s="1"/>
      <c r="Y22" s="1"/>
      <c r="Z22" s="1"/>
      <c r="AA22" s="1"/>
      <c r="AB22" s="24"/>
      <c r="AC22" s="1"/>
      <c r="AD22" s="1"/>
      <c r="AE22" s="1"/>
      <c r="AF22" s="1"/>
      <c r="AG22" s="1"/>
      <c r="AH22" s="26">
        <v>44074</v>
      </c>
      <c r="AI22" s="26"/>
      <c r="AJ22" s="1" t="s">
        <v>65</v>
      </c>
      <c r="AK22" s="1"/>
      <c r="AL22" s="1"/>
      <c r="AM22" s="1"/>
      <c r="AN22" s="26"/>
      <c r="AO22" s="26"/>
      <c r="AP22" s="26"/>
      <c r="AQ22" s="26"/>
      <c r="AR22" s="26">
        <v>44075</v>
      </c>
      <c r="AS22" s="26"/>
      <c r="AT22" s="26"/>
      <c r="AU22" s="26"/>
      <c r="AV22" s="26"/>
      <c r="AW22" s="1"/>
      <c r="AX22" s="1"/>
      <c r="AY22" s="1"/>
      <c r="AZ22" s="1"/>
      <c r="BA22" s="30">
        <f t="shared" ca="1" si="0"/>
        <v>33</v>
      </c>
      <c r="BB22" s="1" t="s">
        <v>66</v>
      </c>
      <c r="BC22" s="1"/>
    </row>
    <row r="23" spans="1:55" s="22" customFormat="1" ht="15.75" x14ac:dyDescent="0.25">
      <c r="A23" s="1">
        <v>20202350</v>
      </c>
      <c r="B23" s="1" t="s">
        <v>130</v>
      </c>
      <c r="C23" s="1"/>
      <c r="D23" s="1"/>
      <c r="E23" s="24">
        <v>358125040887450</v>
      </c>
      <c r="F23" s="24"/>
      <c r="G23" s="24"/>
      <c r="H23" s="25"/>
      <c r="I23" s="24"/>
      <c r="J23" s="24"/>
      <c r="K23" s="1"/>
      <c r="L23" s="26"/>
      <c r="M23" s="27" t="str">
        <f t="shared" ca="1" si="1"/>
        <v>NW</v>
      </c>
      <c r="N23" s="1"/>
      <c r="O23" s="1"/>
      <c r="P23" s="1"/>
      <c r="Q23" s="1"/>
      <c r="R23" s="28"/>
      <c r="S23" s="1"/>
      <c r="T23" s="1"/>
      <c r="U23" s="1"/>
      <c r="V23" s="29" t="s">
        <v>64</v>
      </c>
      <c r="W23" s="1"/>
      <c r="X23" s="1"/>
      <c r="Y23" s="1"/>
      <c r="Z23" s="1"/>
      <c r="AA23" s="1"/>
      <c r="AB23" s="24"/>
      <c r="AC23" s="1"/>
      <c r="AD23" s="1"/>
      <c r="AE23" s="1"/>
      <c r="AF23" s="1"/>
      <c r="AG23" s="1"/>
      <c r="AH23" s="26">
        <v>44107</v>
      </c>
      <c r="AI23" s="26"/>
      <c r="AJ23" s="1" t="s">
        <v>65</v>
      </c>
      <c r="AK23" s="1"/>
      <c r="AL23" s="1"/>
      <c r="AM23" s="1"/>
      <c r="AN23" s="26"/>
      <c r="AO23" s="26"/>
      <c r="AP23" s="26"/>
      <c r="AQ23" s="26"/>
      <c r="AR23" s="26">
        <v>44075</v>
      </c>
      <c r="AS23" s="26"/>
      <c r="AT23" s="26"/>
      <c r="AU23" s="26"/>
      <c r="AV23" s="26"/>
      <c r="AW23" s="1"/>
      <c r="AX23" s="1"/>
      <c r="AY23" s="1"/>
      <c r="AZ23" s="1"/>
      <c r="BA23" s="30">
        <f t="shared" ca="1" si="0"/>
        <v>0</v>
      </c>
      <c r="BB23" s="1" t="s">
        <v>66</v>
      </c>
      <c r="BC23" s="1"/>
    </row>
    <row r="24" spans="1:55" s="22" customFormat="1" ht="15.75" x14ac:dyDescent="0.25">
      <c r="A24" s="1">
        <v>20202350</v>
      </c>
      <c r="B24" s="1" t="s">
        <v>130</v>
      </c>
      <c r="C24" s="1"/>
      <c r="D24" s="1"/>
      <c r="E24" s="24"/>
      <c r="F24" s="24"/>
      <c r="G24" s="24"/>
      <c r="H24" s="25"/>
      <c r="I24" s="24"/>
      <c r="J24" s="24"/>
      <c r="K24" s="1"/>
      <c r="L24" s="26"/>
      <c r="M24" s="27" t="str">
        <f t="shared" ref="M24" ca="1" si="2">IF(AND(L24="",AH24=""),"",IF(OR(AH24=""),TODAY()-L24,IF(AND(L24="",N24="YES"),"TD",IF(OR(AH24-L24&gt;365),"NW",AH24-L24))))</f>
        <v>NW</v>
      </c>
      <c r="N24" s="1"/>
      <c r="O24" s="1"/>
      <c r="P24" s="1"/>
      <c r="Q24" s="1"/>
      <c r="R24" s="28"/>
      <c r="S24" s="1"/>
      <c r="T24" s="1"/>
      <c r="U24" s="1"/>
      <c r="V24" s="29" t="s">
        <v>64</v>
      </c>
      <c r="W24" s="1"/>
      <c r="X24" s="1"/>
      <c r="Y24" s="1"/>
      <c r="Z24" s="1"/>
      <c r="AA24" s="1"/>
      <c r="AB24" s="24"/>
      <c r="AC24" s="1"/>
      <c r="AD24" s="1"/>
      <c r="AE24" s="1"/>
      <c r="AF24" s="1"/>
      <c r="AG24" s="1"/>
      <c r="AH24" s="26">
        <v>44106</v>
      </c>
      <c r="AI24" s="26"/>
      <c r="AJ24" s="1" t="s">
        <v>65</v>
      </c>
      <c r="AK24" s="1"/>
      <c r="AL24" s="1"/>
      <c r="AM24" s="1"/>
      <c r="AN24" s="26"/>
      <c r="AO24" s="26"/>
      <c r="AP24" s="26"/>
      <c r="AQ24" s="26"/>
      <c r="AR24" s="26">
        <v>44075</v>
      </c>
      <c r="AS24" s="26"/>
      <c r="AT24" s="26"/>
      <c r="AU24" s="26"/>
      <c r="AV24" s="26"/>
      <c r="AW24" s="1"/>
      <c r="AX24" s="1"/>
      <c r="AY24" s="1"/>
      <c r="AZ24" s="1"/>
      <c r="BA24" s="30">
        <f ca="1">IF(OR(AH24=""),0,IF(OR(AN24=""),(IF(OR(AI24=""),TODAY()-AH24,AI24-AH24)),(IF(OR(AS24=""),TODAY()-AH24,AS24-AH24))))</f>
        <v>1</v>
      </c>
      <c r="BB24" s="1" t="s">
        <v>66</v>
      </c>
      <c r="BC24" s="1"/>
    </row>
    <row r="25" spans="1:55" s="22" customFormat="1" ht="15.75" x14ac:dyDescent="0.25">
      <c r="A25" s="1"/>
      <c r="B25" s="1"/>
      <c r="C25" s="1"/>
      <c r="D25" s="1"/>
      <c r="E25" s="24"/>
      <c r="F25" s="24"/>
      <c r="G25" s="24"/>
      <c r="H25" s="25"/>
      <c r="I25" s="24"/>
      <c r="J25" s="24"/>
      <c r="K25" s="1"/>
      <c r="L25" s="26"/>
      <c r="M25" s="27" t="str">
        <f ca="1">IF(AND(L24="",AH24=""),"",IF(OR(AH24=""),TODAY()-L24,IF(AND(L24="",N24="YES"),"TD",IF(OR(AH24-L24&gt;365),"NW",AH24-L24))))</f>
        <v>NW</v>
      </c>
      <c r="N25" s="1"/>
      <c r="O25" s="1"/>
      <c r="P25" s="1"/>
      <c r="Q25" s="1"/>
      <c r="R25" s="28"/>
      <c r="S25" s="1"/>
      <c r="T25" s="1"/>
      <c r="U25" s="1"/>
      <c r="V25" s="29"/>
      <c r="W25" s="1"/>
      <c r="X25" s="1"/>
      <c r="Y25" s="1"/>
      <c r="Z25" s="1"/>
      <c r="AA25" s="1"/>
      <c r="AB25" s="24"/>
      <c r="AC25" s="1"/>
      <c r="AD25" s="1"/>
      <c r="AE25" s="1"/>
      <c r="AF25" s="1"/>
      <c r="AG25" s="1"/>
      <c r="AH25" s="26"/>
      <c r="AI25" s="26"/>
      <c r="AJ25" s="1"/>
      <c r="AK25" s="1"/>
      <c r="AL25" s="1"/>
      <c r="AM25" s="1"/>
      <c r="AN25" s="26"/>
      <c r="AO25" s="26"/>
      <c r="AP25" s="26"/>
      <c r="AQ25" s="26"/>
      <c r="AR25" s="26"/>
      <c r="AS25" s="26"/>
      <c r="AT25" s="26"/>
      <c r="AU25" s="26"/>
      <c r="AV25" s="26"/>
      <c r="AW25" s="1"/>
      <c r="AX25" s="1"/>
      <c r="AY25" s="1"/>
      <c r="AZ25" s="1"/>
      <c r="BA25" s="30"/>
      <c r="BB25" s="1"/>
      <c r="BC25" s="1"/>
    </row>
    <row r="26" spans="1:55" s="22" customFormat="1" ht="15.75" x14ac:dyDescent="0.25">
      <c r="A26" s="1"/>
      <c r="B26" s="1"/>
      <c r="C26" s="1"/>
      <c r="D26" s="1"/>
      <c r="E26" s="24"/>
      <c r="F26" s="24"/>
      <c r="G26" s="24"/>
      <c r="H26" s="25"/>
      <c r="I26" s="24"/>
      <c r="J26" s="24"/>
      <c r="K26" s="1"/>
      <c r="L26" s="26"/>
      <c r="M26" s="27"/>
      <c r="N26" s="1"/>
      <c r="O26" s="1"/>
      <c r="P26" s="1"/>
      <c r="Q26" s="1"/>
      <c r="R26" s="28"/>
      <c r="S26" s="1"/>
      <c r="T26" s="1"/>
      <c r="U26" s="1"/>
      <c r="V26" s="29"/>
      <c r="W26" s="1"/>
      <c r="X26" s="1"/>
      <c r="Y26" s="1"/>
      <c r="Z26" s="1"/>
      <c r="AA26" s="1"/>
      <c r="AB26" s="24"/>
      <c r="AC26" s="1"/>
      <c r="AD26" s="1"/>
      <c r="AE26" s="1"/>
      <c r="AF26" s="1"/>
      <c r="AG26" s="1"/>
      <c r="AH26" s="26"/>
      <c r="AI26" s="26"/>
      <c r="AJ26" s="1"/>
      <c r="AK26" s="1"/>
      <c r="AL26" s="1"/>
      <c r="AM26" s="1"/>
      <c r="AN26" s="26"/>
      <c r="AO26" s="26"/>
      <c r="AP26" s="26"/>
      <c r="AQ26" s="26"/>
      <c r="AR26" s="26"/>
      <c r="AS26" s="26"/>
      <c r="AT26" s="26"/>
      <c r="AU26" s="26"/>
      <c r="AV26" s="26"/>
      <c r="AW26" s="1"/>
      <c r="AX26" s="1"/>
      <c r="AY26" s="1"/>
      <c r="AZ26" s="1"/>
      <c r="BA26" s="30"/>
      <c r="BB26" s="1"/>
      <c r="BC26" s="1"/>
    </row>
    <row r="27" spans="1:55" s="22" customFormat="1" ht="15.75" x14ac:dyDescent="0.25">
      <c r="A27" s="1"/>
      <c r="B27" s="1"/>
      <c r="C27" s="1"/>
      <c r="D27" s="1"/>
      <c r="E27" s="24"/>
      <c r="F27" s="24"/>
      <c r="G27" s="24"/>
      <c r="H27" s="25"/>
      <c r="I27" s="24"/>
      <c r="J27" s="24"/>
      <c r="K27" s="1"/>
      <c r="L27" s="26"/>
      <c r="M27" s="27"/>
      <c r="N27" s="1"/>
      <c r="O27" s="1"/>
      <c r="P27" s="1"/>
      <c r="Q27" s="1"/>
      <c r="R27" s="28"/>
      <c r="S27" s="1"/>
      <c r="T27" s="1"/>
      <c r="U27" s="1"/>
      <c r="V27" s="29"/>
      <c r="W27" s="1"/>
      <c r="X27" s="1"/>
      <c r="Y27" s="1"/>
      <c r="Z27" s="1"/>
      <c r="AA27" s="1"/>
      <c r="AB27" s="24"/>
      <c r="AC27" s="1"/>
      <c r="AD27" s="1"/>
      <c r="AE27" s="1"/>
      <c r="AF27" s="1"/>
      <c r="AG27" s="1"/>
      <c r="AH27" s="26"/>
      <c r="AI27" s="26"/>
      <c r="AJ27" s="1"/>
      <c r="AK27" s="1"/>
      <c r="AL27" s="1"/>
      <c r="AM27" s="1"/>
      <c r="AN27" s="26"/>
      <c r="AO27" s="26"/>
      <c r="AP27" s="26"/>
      <c r="AQ27" s="26"/>
      <c r="AR27" s="26"/>
      <c r="AS27" s="26"/>
      <c r="AT27" s="26"/>
      <c r="AU27" s="26"/>
      <c r="AV27" s="26"/>
      <c r="AW27" s="1"/>
      <c r="AX27" s="1"/>
      <c r="AY27" s="1"/>
      <c r="AZ27" s="1"/>
      <c r="BA27" s="30"/>
      <c r="BB27" s="1"/>
      <c r="BC27" s="1"/>
    </row>
    <row r="28" spans="1:55" s="22" customFormat="1" ht="15.75" x14ac:dyDescent="0.25">
      <c r="A28" s="1"/>
      <c r="B28" s="1"/>
      <c r="C28" s="1"/>
      <c r="D28" s="1"/>
      <c r="E28" s="24"/>
      <c r="F28" s="24"/>
      <c r="G28" s="24"/>
      <c r="H28" s="25"/>
      <c r="I28" s="24"/>
      <c r="J28" s="24"/>
      <c r="K28" s="1"/>
      <c r="L28" s="26"/>
      <c r="M28" s="27"/>
      <c r="N28" s="1"/>
      <c r="O28" s="1"/>
      <c r="P28" s="1"/>
      <c r="Q28" s="1"/>
      <c r="R28" s="28"/>
      <c r="S28" s="1"/>
      <c r="T28" s="1"/>
      <c r="U28" s="1"/>
      <c r="V28" s="29"/>
      <c r="W28" s="1"/>
      <c r="X28" s="1"/>
      <c r="Y28" s="1"/>
      <c r="Z28" s="1"/>
      <c r="AA28" s="1"/>
      <c r="AB28" s="24"/>
      <c r="AC28" s="1"/>
      <c r="AD28" s="1"/>
      <c r="AE28" s="1"/>
      <c r="AF28" s="1"/>
      <c r="AG28" s="1"/>
      <c r="AH28" s="26"/>
      <c r="AI28" s="26"/>
      <c r="AJ28" s="1"/>
      <c r="AK28" s="1"/>
      <c r="AL28" s="1"/>
      <c r="AM28" s="1"/>
      <c r="AN28" s="26"/>
      <c r="AO28" s="26"/>
      <c r="AP28" s="26"/>
      <c r="AQ28" s="26"/>
      <c r="AR28" s="26"/>
      <c r="AS28" s="26"/>
      <c r="AT28" s="26"/>
      <c r="AU28" s="26"/>
      <c r="AV28" s="26"/>
      <c r="AW28" s="1"/>
      <c r="AX28" s="1"/>
      <c r="AY28" s="1"/>
      <c r="AZ28" s="1"/>
      <c r="BA28" s="30"/>
      <c r="BB28" s="1"/>
      <c r="BC28" s="1"/>
    </row>
    <row r="29" spans="1:55" s="22" customFormat="1" ht="15.75" x14ac:dyDescent="0.25">
      <c r="A29" s="1"/>
      <c r="B29" s="1"/>
      <c r="C29" s="1"/>
      <c r="D29" s="1"/>
      <c r="E29" s="24"/>
      <c r="F29" s="24"/>
      <c r="G29" s="24"/>
      <c r="H29" s="25"/>
      <c r="I29" s="24"/>
      <c r="J29" s="24"/>
      <c r="K29" s="1"/>
      <c r="L29" s="26"/>
      <c r="M29" s="27"/>
      <c r="N29" s="1"/>
      <c r="O29" s="1"/>
      <c r="P29" s="1"/>
      <c r="Q29" s="1"/>
      <c r="R29" s="28"/>
      <c r="S29" s="1"/>
      <c r="T29" s="1"/>
      <c r="U29" s="1"/>
      <c r="V29" s="29"/>
      <c r="W29" s="1"/>
      <c r="X29" s="1"/>
      <c r="Y29" s="1"/>
      <c r="Z29" s="1"/>
      <c r="AA29" s="1"/>
      <c r="AB29" s="24"/>
      <c r="AC29" s="1"/>
      <c r="AD29" s="1"/>
      <c r="AE29" s="1"/>
      <c r="AF29" s="1"/>
      <c r="AG29" s="1"/>
      <c r="AH29" s="26"/>
      <c r="AI29" s="26"/>
      <c r="AJ29" s="1"/>
      <c r="AK29" s="1"/>
      <c r="AL29" s="1"/>
      <c r="AM29" s="1"/>
      <c r="AN29" s="26"/>
      <c r="AO29" s="26"/>
      <c r="AP29" s="26"/>
      <c r="AQ29" s="26"/>
      <c r="AR29" s="26"/>
      <c r="AS29" s="26"/>
      <c r="AT29" s="26"/>
      <c r="AU29" s="26"/>
      <c r="AV29" s="26"/>
      <c r="AW29" s="1"/>
      <c r="AX29" s="1"/>
      <c r="AY29" s="1"/>
      <c r="AZ29" s="1"/>
      <c r="BA29" s="30"/>
      <c r="BB29" s="1"/>
      <c r="BC29" s="1"/>
    </row>
    <row r="30" spans="1:55" s="22" customFormat="1" ht="15.75" x14ac:dyDescent="0.25">
      <c r="A30" s="1"/>
      <c r="B30" s="1"/>
      <c r="C30" s="1"/>
      <c r="D30" s="1"/>
      <c r="E30" s="24"/>
      <c r="F30" s="24"/>
      <c r="G30" s="24"/>
      <c r="H30" s="25"/>
      <c r="I30" s="24"/>
      <c r="J30" s="24"/>
      <c r="K30" s="1"/>
      <c r="L30" s="26"/>
      <c r="M30" s="27"/>
      <c r="N30" s="1"/>
      <c r="O30" s="1"/>
      <c r="P30" s="1"/>
      <c r="Q30" s="1"/>
      <c r="R30" s="28"/>
      <c r="S30" s="1"/>
      <c r="T30" s="1"/>
      <c r="U30" s="1"/>
      <c r="V30" s="29"/>
      <c r="W30" s="1"/>
      <c r="X30" s="1"/>
      <c r="Y30" s="1"/>
      <c r="Z30" s="1"/>
      <c r="AA30" s="1"/>
      <c r="AB30" s="24"/>
      <c r="AC30" s="1"/>
      <c r="AD30" s="1"/>
      <c r="AE30" s="1"/>
      <c r="AF30" s="1"/>
      <c r="AG30" s="1"/>
      <c r="AH30" s="26"/>
      <c r="AI30" s="26"/>
      <c r="AJ30" s="1"/>
      <c r="AK30" s="1"/>
      <c r="AL30" s="1"/>
      <c r="AM30" s="1"/>
      <c r="AN30" s="26"/>
      <c r="AO30" s="26"/>
      <c r="AP30" s="26"/>
      <c r="AQ30" s="26"/>
      <c r="AR30" s="26"/>
      <c r="AS30" s="26"/>
      <c r="AT30" s="26"/>
      <c r="AU30" s="26"/>
      <c r="AV30" s="26"/>
      <c r="AW30" s="1"/>
      <c r="AX30" s="1"/>
      <c r="AY30" s="1"/>
      <c r="AZ30" s="1"/>
      <c r="BA30" s="30"/>
      <c r="BB30" s="1"/>
      <c r="BC30" s="1"/>
    </row>
    <row r="34" spans="24:24" x14ac:dyDescent="0.25">
      <c r="X34" s="32"/>
    </row>
    <row r="44" spans="24:24" x14ac:dyDescent="0.25">
      <c r="X44" t="s">
        <v>249</v>
      </c>
    </row>
    <row r="55" spans="24:24" x14ac:dyDescent="0.25">
      <c r="X55" t="s">
        <v>250</v>
      </c>
    </row>
  </sheetData>
  <conditionalFormatting sqref="E3:E23">
    <cfRule type="duplicateValues" dxfId="11" priority="10"/>
  </conditionalFormatting>
  <conditionalFormatting sqref="B3:B23 B1">
    <cfRule type="duplicateValues" dxfId="10" priority="11"/>
  </conditionalFormatting>
  <conditionalFormatting sqref="A3:A23 A1">
    <cfRule type="duplicateValues" dxfId="9" priority="12"/>
  </conditionalFormatting>
  <conditionalFormatting sqref="E25:E30">
    <cfRule type="duplicateValues" dxfId="8" priority="7"/>
  </conditionalFormatting>
  <conditionalFormatting sqref="B25:B30">
    <cfRule type="duplicateValues" dxfId="7" priority="8"/>
  </conditionalFormatting>
  <conditionalFormatting sqref="A25:A30">
    <cfRule type="duplicateValues" dxfId="6" priority="9"/>
  </conditionalFormatting>
  <conditionalFormatting sqref="E24">
    <cfRule type="duplicateValues" dxfId="5" priority="1"/>
  </conditionalFormatting>
  <conditionalFormatting sqref="B24">
    <cfRule type="duplicateValues" dxfId="4" priority="2"/>
  </conditionalFormatting>
  <conditionalFormatting sqref="A24">
    <cfRule type="duplicateValues" dxfId="3" priority="3"/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58AAB-A742-4902-9229-D020140AA5B3}">
  <sheetPr codeName="Sheet4"/>
  <dimension ref="A1"/>
  <sheetViews>
    <sheetView workbookViewId="0">
      <selection activeCell="A8" sqref="A8"/>
    </sheetView>
  </sheetViews>
  <sheetFormatPr defaultRowHeight="15" x14ac:dyDescent="0.25"/>
  <cols>
    <col min="1" max="1" width="70.85546875" bestFit="1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4F746-1CE8-4A64-834A-95E79B3FCDCD}">
  <sheetPr codeName="Sheet2">
    <tabColor rgb="FFFF0000"/>
  </sheetPr>
  <dimension ref="A1:Q61"/>
  <sheetViews>
    <sheetView tabSelected="1" topLeftCell="H1" workbookViewId="0">
      <selection activeCell="M10" sqref="M10"/>
    </sheetView>
  </sheetViews>
  <sheetFormatPr defaultRowHeight="15" x14ac:dyDescent="0.25"/>
  <cols>
    <col min="3" max="3" width="15.5703125" customWidth="1"/>
    <col min="4" max="4" width="15.140625" bestFit="1" customWidth="1"/>
    <col min="5" max="5" width="22.140625" bestFit="1" customWidth="1"/>
    <col min="6" max="6" width="23.7109375" bestFit="1" customWidth="1"/>
    <col min="7" max="7" width="14.42578125" customWidth="1"/>
    <col min="8" max="8" width="16" customWidth="1"/>
    <col min="9" max="9" width="11.42578125" bestFit="1" customWidth="1"/>
    <col min="10" max="10" width="17.28515625" bestFit="1" customWidth="1"/>
    <col min="11" max="11" width="15.42578125" bestFit="1" customWidth="1"/>
    <col min="12" max="12" width="20.140625" bestFit="1" customWidth="1"/>
    <col min="13" max="13" width="24.140625" customWidth="1"/>
    <col min="14" max="14" width="11.85546875" customWidth="1"/>
  </cols>
  <sheetData>
    <row r="1" spans="1:15" x14ac:dyDescent="0.25">
      <c r="G1" t="s">
        <v>64</v>
      </c>
      <c r="I1" t="s">
        <v>66</v>
      </c>
    </row>
    <row r="2" spans="1:15" x14ac:dyDescent="0.25">
      <c r="A2" s="2" t="s">
        <v>5</v>
      </c>
      <c r="B2" s="2" t="s">
        <v>2</v>
      </c>
      <c r="C2" s="2" t="s">
        <v>7</v>
      </c>
      <c r="D2" s="2" t="s">
        <v>190</v>
      </c>
      <c r="E2" s="2" t="s">
        <v>201</v>
      </c>
      <c r="F2" s="2" t="s">
        <v>202</v>
      </c>
      <c r="G2" s="2" t="s">
        <v>22</v>
      </c>
      <c r="H2" s="2" t="s">
        <v>33</v>
      </c>
      <c r="I2" s="2" t="s">
        <v>50</v>
      </c>
      <c r="J2" s="31" t="s">
        <v>8</v>
      </c>
      <c r="K2" s="31" t="s">
        <v>17</v>
      </c>
      <c r="L2" s="2" t="s">
        <v>246</v>
      </c>
      <c r="M2" s="39" t="s">
        <v>252</v>
      </c>
      <c r="N2" s="39"/>
    </row>
    <row r="3" spans="1:15" ht="22.5" customHeight="1" x14ac:dyDescent="0.25">
      <c r="A3" s="1" t="s">
        <v>112</v>
      </c>
      <c r="B3" t="s">
        <v>144</v>
      </c>
      <c r="C3" t="s">
        <v>55</v>
      </c>
      <c r="D3" t="s">
        <v>57</v>
      </c>
      <c r="E3" t="s">
        <v>74</v>
      </c>
      <c r="F3" t="s">
        <v>74</v>
      </c>
      <c r="G3" t="s">
        <v>211</v>
      </c>
      <c r="H3" t="s">
        <v>65</v>
      </c>
      <c r="I3" t="s">
        <v>66</v>
      </c>
      <c r="J3" t="s">
        <v>56</v>
      </c>
      <c r="K3" t="s">
        <v>59</v>
      </c>
      <c r="L3" t="s">
        <v>214</v>
      </c>
      <c r="M3" s="37" t="s">
        <v>14</v>
      </c>
      <c r="N3" s="38"/>
      <c r="O3" s="36" t="s">
        <v>253</v>
      </c>
    </row>
    <row r="4" spans="1:15" x14ac:dyDescent="0.25">
      <c r="A4" s="1" t="s">
        <v>54</v>
      </c>
      <c r="B4" t="s">
        <v>135</v>
      </c>
      <c r="C4" t="s">
        <v>69</v>
      </c>
      <c r="D4" t="s">
        <v>86</v>
      </c>
      <c r="E4" t="s">
        <v>193</v>
      </c>
      <c r="F4" t="s">
        <v>203</v>
      </c>
      <c r="G4" t="s">
        <v>64</v>
      </c>
      <c r="J4" t="s">
        <v>212</v>
      </c>
      <c r="K4" t="s">
        <v>213</v>
      </c>
      <c r="L4" t="s">
        <v>215</v>
      </c>
      <c r="M4" s="33" t="s">
        <v>13</v>
      </c>
      <c r="N4" s="26">
        <v>44107</v>
      </c>
    </row>
    <row r="5" spans="1:15" x14ac:dyDescent="0.25">
      <c r="B5" t="s">
        <v>142</v>
      </c>
      <c r="C5" t="s">
        <v>85</v>
      </c>
      <c r="D5" t="s">
        <v>92</v>
      </c>
      <c r="E5" t="s">
        <v>71</v>
      </c>
      <c r="F5" t="s">
        <v>70</v>
      </c>
      <c r="J5" t="s">
        <v>114</v>
      </c>
      <c r="L5" t="s">
        <v>216</v>
      </c>
      <c r="M5" s="34" t="s">
        <v>15</v>
      </c>
      <c r="N5" s="35" t="s">
        <v>57</v>
      </c>
      <c r="O5" s="31">
        <f ca="1">IF(AND(N4="",N6=""),"",IF(OR(N6=""),TODAY()-N4,IF(AND(N4="",N5="YES"),"TD",IF(OR(N6-N4&gt;365),"NW",N6-N4))))</f>
        <v>0</v>
      </c>
    </row>
    <row r="6" spans="1:15" x14ac:dyDescent="0.25">
      <c r="B6" t="s">
        <v>133</v>
      </c>
      <c r="C6" t="s">
        <v>189</v>
      </c>
      <c r="D6" t="s">
        <v>191</v>
      </c>
      <c r="E6" t="s">
        <v>194</v>
      </c>
      <c r="F6" t="s">
        <v>107</v>
      </c>
      <c r="L6" t="s">
        <v>217</v>
      </c>
      <c r="M6" s="14" t="s">
        <v>31</v>
      </c>
      <c r="N6" s="26">
        <v>44107</v>
      </c>
    </row>
    <row r="7" spans="1:15" x14ac:dyDescent="0.25">
      <c r="B7" t="s">
        <v>150</v>
      </c>
      <c r="C7" t="s">
        <v>185</v>
      </c>
      <c r="D7" t="s">
        <v>192</v>
      </c>
      <c r="E7" t="s">
        <v>98</v>
      </c>
      <c r="F7" t="s">
        <v>204</v>
      </c>
      <c r="L7" t="s">
        <v>218</v>
      </c>
    </row>
    <row r="8" spans="1:15" x14ac:dyDescent="0.25">
      <c r="B8" t="s">
        <v>151</v>
      </c>
      <c r="C8" t="s">
        <v>186</v>
      </c>
      <c r="D8" t="s">
        <v>254</v>
      </c>
      <c r="E8" t="s">
        <v>70</v>
      </c>
      <c r="F8" t="s">
        <v>197</v>
      </c>
      <c r="L8" t="s">
        <v>219</v>
      </c>
    </row>
    <row r="9" spans="1:15" x14ac:dyDescent="0.25">
      <c r="B9" t="s">
        <v>152</v>
      </c>
      <c r="C9" t="s">
        <v>187</v>
      </c>
      <c r="E9" t="s">
        <v>195</v>
      </c>
      <c r="F9" t="s">
        <v>205</v>
      </c>
      <c r="L9" t="s">
        <v>220</v>
      </c>
      <c r="M9" s="40" t="s">
        <v>49</v>
      </c>
      <c r="N9" s="41"/>
    </row>
    <row r="10" spans="1:15" x14ac:dyDescent="0.25">
      <c r="B10" t="s">
        <v>153</v>
      </c>
      <c r="C10" t="s">
        <v>188</v>
      </c>
      <c r="E10" t="s">
        <v>196</v>
      </c>
      <c r="F10" t="s">
        <v>199</v>
      </c>
      <c r="L10" t="s">
        <v>221</v>
      </c>
      <c r="M10" s="14" t="s">
        <v>31</v>
      </c>
      <c r="N10" s="26">
        <f>N6</f>
        <v>44107</v>
      </c>
    </row>
    <row r="11" spans="1:15" x14ac:dyDescent="0.25">
      <c r="B11" t="s">
        <v>154</v>
      </c>
      <c r="E11" t="s">
        <v>197</v>
      </c>
      <c r="F11" t="s">
        <v>206</v>
      </c>
      <c r="I11" s="3"/>
      <c r="L11" t="s">
        <v>222</v>
      </c>
      <c r="M11" s="9" t="s">
        <v>32</v>
      </c>
      <c r="N11" s="26"/>
      <c r="O11" s="31">
        <f ca="1">IF(OR(N10=""),0,IF(OR(N12=""),(IF(OR(N11=""),TODAY()-N10,N11-N10)),(IF(OR(N13=""),TODAY()-N10,N13-N10))))</f>
        <v>0</v>
      </c>
    </row>
    <row r="12" spans="1:15" x14ac:dyDescent="0.25">
      <c r="B12" t="s">
        <v>155</v>
      </c>
      <c r="E12" t="s">
        <v>198</v>
      </c>
      <c r="F12" t="s">
        <v>99</v>
      </c>
      <c r="L12" t="s">
        <v>223</v>
      </c>
      <c r="M12" s="16" t="s">
        <v>36</v>
      </c>
      <c r="N12" s="26"/>
    </row>
    <row r="13" spans="1:15" x14ac:dyDescent="0.25">
      <c r="B13" t="s">
        <v>156</v>
      </c>
      <c r="E13" t="s">
        <v>107</v>
      </c>
      <c r="F13" t="s">
        <v>126</v>
      </c>
      <c r="L13" t="s">
        <v>224</v>
      </c>
      <c r="M13" s="19" t="s">
        <v>41</v>
      </c>
      <c r="N13" s="26"/>
    </row>
    <row r="14" spans="1:15" x14ac:dyDescent="0.25">
      <c r="B14" t="s">
        <v>157</v>
      </c>
      <c r="E14" t="s">
        <v>199</v>
      </c>
      <c r="F14" t="s">
        <v>207</v>
      </c>
      <c r="L14" t="s">
        <v>225</v>
      </c>
    </row>
    <row r="15" spans="1:15" x14ac:dyDescent="0.25">
      <c r="B15" t="s">
        <v>158</v>
      </c>
      <c r="E15" t="s">
        <v>88</v>
      </c>
      <c r="F15" t="s">
        <v>98</v>
      </c>
      <c r="L15" t="s">
        <v>226</v>
      </c>
    </row>
    <row r="16" spans="1:15" x14ac:dyDescent="0.25">
      <c r="B16" t="s">
        <v>159</v>
      </c>
      <c r="E16" t="s">
        <v>200</v>
      </c>
      <c r="F16" t="s">
        <v>71</v>
      </c>
      <c r="L16" t="s">
        <v>227</v>
      </c>
    </row>
    <row r="17" spans="2:12" x14ac:dyDescent="0.25">
      <c r="B17" t="s">
        <v>160</v>
      </c>
      <c r="F17" t="s">
        <v>193</v>
      </c>
      <c r="L17" t="s">
        <v>228</v>
      </c>
    </row>
    <row r="18" spans="2:12" x14ac:dyDescent="0.25">
      <c r="B18" t="s">
        <v>161</v>
      </c>
      <c r="F18" t="s">
        <v>208</v>
      </c>
      <c r="L18" t="s">
        <v>229</v>
      </c>
    </row>
    <row r="19" spans="2:12" x14ac:dyDescent="0.25">
      <c r="B19" t="s">
        <v>162</v>
      </c>
      <c r="F19" t="s">
        <v>87</v>
      </c>
      <c r="L19" t="s">
        <v>230</v>
      </c>
    </row>
    <row r="20" spans="2:12" x14ac:dyDescent="0.25">
      <c r="B20" t="s">
        <v>163</v>
      </c>
      <c r="F20" t="s">
        <v>88</v>
      </c>
      <c r="L20" t="s">
        <v>231</v>
      </c>
    </row>
    <row r="21" spans="2:12" x14ac:dyDescent="0.25">
      <c r="B21" t="s">
        <v>164</v>
      </c>
      <c r="F21" t="s">
        <v>194</v>
      </c>
      <c r="L21" t="s">
        <v>232</v>
      </c>
    </row>
    <row r="22" spans="2:12" x14ac:dyDescent="0.25">
      <c r="B22" t="s">
        <v>165</v>
      </c>
      <c r="F22" t="s">
        <v>209</v>
      </c>
      <c r="L22" t="s">
        <v>233</v>
      </c>
    </row>
    <row r="23" spans="2:12" x14ac:dyDescent="0.25">
      <c r="B23" t="s">
        <v>166</v>
      </c>
      <c r="F23" t="s">
        <v>210</v>
      </c>
      <c r="L23" t="s">
        <v>234</v>
      </c>
    </row>
    <row r="24" spans="2:12" x14ac:dyDescent="0.25">
      <c r="B24" t="s">
        <v>167</v>
      </c>
      <c r="L24" t="s">
        <v>235</v>
      </c>
    </row>
    <row r="25" spans="2:12" x14ac:dyDescent="0.25">
      <c r="B25" t="s">
        <v>168</v>
      </c>
      <c r="L25" t="s">
        <v>236</v>
      </c>
    </row>
    <row r="26" spans="2:12" x14ac:dyDescent="0.25">
      <c r="B26" t="s">
        <v>169</v>
      </c>
      <c r="L26" t="s">
        <v>237</v>
      </c>
    </row>
    <row r="27" spans="2:12" x14ac:dyDescent="0.25">
      <c r="B27" t="s">
        <v>170</v>
      </c>
      <c r="L27" t="s">
        <v>238</v>
      </c>
    </row>
    <row r="28" spans="2:12" x14ac:dyDescent="0.25">
      <c r="B28" t="s">
        <v>171</v>
      </c>
      <c r="L28" t="s">
        <v>239</v>
      </c>
    </row>
    <row r="29" spans="2:12" x14ac:dyDescent="0.25">
      <c r="B29" t="s">
        <v>172</v>
      </c>
      <c r="L29" t="s">
        <v>240</v>
      </c>
    </row>
    <row r="30" spans="2:12" x14ac:dyDescent="0.25">
      <c r="B30" t="s">
        <v>173</v>
      </c>
      <c r="L30" t="s">
        <v>241</v>
      </c>
    </row>
    <row r="31" spans="2:12" x14ac:dyDescent="0.25">
      <c r="B31" t="s">
        <v>149</v>
      </c>
      <c r="L31" t="s">
        <v>242</v>
      </c>
    </row>
    <row r="32" spans="2:12" x14ac:dyDescent="0.25">
      <c r="B32" t="s">
        <v>136</v>
      </c>
      <c r="L32" t="s">
        <v>243</v>
      </c>
    </row>
    <row r="33" spans="2:17" x14ac:dyDescent="0.25">
      <c r="B33" t="s">
        <v>174</v>
      </c>
      <c r="L33" t="s">
        <v>244</v>
      </c>
    </row>
    <row r="34" spans="2:17" x14ac:dyDescent="0.25">
      <c r="B34" t="s">
        <v>141</v>
      </c>
      <c r="L34" t="s">
        <v>245</v>
      </c>
    </row>
    <row r="35" spans="2:17" x14ac:dyDescent="0.25">
      <c r="B35" t="s">
        <v>175</v>
      </c>
    </row>
    <row r="36" spans="2:17" x14ac:dyDescent="0.25">
      <c r="B36" t="s">
        <v>176</v>
      </c>
    </row>
    <row r="37" spans="2:17" x14ac:dyDescent="0.25">
      <c r="B37" t="s">
        <v>177</v>
      </c>
    </row>
    <row r="38" spans="2:17" x14ac:dyDescent="0.25">
      <c r="B38" t="s">
        <v>178</v>
      </c>
    </row>
    <row r="39" spans="2:17" x14ac:dyDescent="0.25">
      <c r="B39" t="s">
        <v>103</v>
      </c>
    </row>
    <row r="40" spans="2:17" x14ac:dyDescent="0.25">
      <c r="B40" t="s">
        <v>179</v>
      </c>
    </row>
    <row r="41" spans="2:17" x14ac:dyDescent="0.25">
      <c r="B41" t="s">
        <v>134</v>
      </c>
    </row>
    <row r="42" spans="2:17" x14ac:dyDescent="0.25">
      <c r="B42" t="s">
        <v>180</v>
      </c>
    </row>
    <row r="43" spans="2:17" x14ac:dyDescent="0.25">
      <c r="B43" t="s">
        <v>181</v>
      </c>
    </row>
    <row r="44" spans="2:17" x14ac:dyDescent="0.25">
      <c r="B44" t="s">
        <v>182</v>
      </c>
      <c r="Q44" t="s">
        <v>249</v>
      </c>
    </row>
    <row r="45" spans="2:17" x14ac:dyDescent="0.25">
      <c r="B45" t="s">
        <v>183</v>
      </c>
    </row>
    <row r="46" spans="2:17" x14ac:dyDescent="0.25">
      <c r="B46" t="s">
        <v>184</v>
      </c>
    </row>
    <row r="47" spans="2:17" x14ac:dyDescent="0.25">
      <c r="B47" t="s">
        <v>123</v>
      </c>
    </row>
    <row r="48" spans="2:17" x14ac:dyDescent="0.25">
      <c r="B48" t="s">
        <v>137</v>
      </c>
    </row>
    <row r="49" spans="2:17" x14ac:dyDescent="0.25">
      <c r="B49" t="s">
        <v>140</v>
      </c>
    </row>
    <row r="50" spans="2:17" x14ac:dyDescent="0.25">
      <c r="B50" t="s">
        <v>111</v>
      </c>
    </row>
    <row r="51" spans="2:17" x14ac:dyDescent="0.25">
      <c r="B51" t="s">
        <v>148</v>
      </c>
    </row>
    <row r="52" spans="2:17" x14ac:dyDescent="0.25">
      <c r="B52" t="s">
        <v>139</v>
      </c>
    </row>
    <row r="53" spans="2:17" x14ac:dyDescent="0.25">
      <c r="B53" t="s">
        <v>143</v>
      </c>
    </row>
    <row r="54" spans="2:17" x14ac:dyDescent="0.25">
      <c r="B54" t="s">
        <v>132</v>
      </c>
    </row>
    <row r="55" spans="2:17" x14ac:dyDescent="0.25">
      <c r="B55" t="s">
        <v>131</v>
      </c>
      <c r="Q55" t="s">
        <v>250</v>
      </c>
    </row>
    <row r="56" spans="2:17" x14ac:dyDescent="0.25">
      <c r="B56" t="s">
        <v>145</v>
      </c>
    </row>
    <row r="57" spans="2:17" x14ac:dyDescent="0.25">
      <c r="B57" t="s">
        <v>138</v>
      </c>
    </row>
    <row r="58" spans="2:17" x14ac:dyDescent="0.25">
      <c r="B58" t="s">
        <v>91</v>
      </c>
    </row>
    <row r="59" spans="2:17" x14ac:dyDescent="0.25">
      <c r="B59" t="s">
        <v>147</v>
      </c>
    </row>
    <row r="60" spans="2:17" x14ac:dyDescent="0.25">
      <c r="B60" t="s">
        <v>1</v>
      </c>
    </row>
    <row r="61" spans="2:17" x14ac:dyDescent="0.25">
      <c r="B61" t="s">
        <v>146</v>
      </c>
    </row>
  </sheetData>
  <sortState xmlns:xlrd2="http://schemas.microsoft.com/office/spreadsheetml/2017/richdata2" ref="B3:B770">
    <sortCondition ref="B3:B770"/>
  </sortState>
  <mergeCells count="3">
    <mergeCell ref="M3:N3"/>
    <mergeCell ref="M2:N2"/>
    <mergeCell ref="M9:N9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582F4-A20A-4946-8F2B-0729CDD068F7}">
  <sheetPr codeName="Sheet3"/>
  <dimension ref="B2:BG58"/>
  <sheetViews>
    <sheetView topLeftCell="A9" workbookViewId="0">
      <selection activeCell="B13" sqref="B13"/>
    </sheetView>
  </sheetViews>
  <sheetFormatPr defaultRowHeight="15" x14ac:dyDescent="0.25"/>
  <cols>
    <col min="2" max="2" width="24.5703125" bestFit="1" customWidth="1"/>
    <col min="3" max="3" width="3" bestFit="1" customWidth="1"/>
    <col min="4" max="4" width="16.42578125" customWidth="1"/>
  </cols>
  <sheetData>
    <row r="2" spans="2:3" x14ac:dyDescent="0.25">
      <c r="B2" t="s">
        <v>3</v>
      </c>
      <c r="C2">
        <v>1</v>
      </c>
    </row>
    <row r="3" spans="2:3" x14ac:dyDescent="0.25">
      <c r="B3" t="s">
        <v>4</v>
      </c>
      <c r="C3">
        <v>2</v>
      </c>
    </row>
    <row r="4" spans="2:3" x14ac:dyDescent="0.25">
      <c r="B4" t="s">
        <v>0</v>
      </c>
      <c r="C4">
        <v>3</v>
      </c>
    </row>
    <row r="5" spans="2:3" x14ac:dyDescent="0.25">
      <c r="B5" t="s">
        <v>5</v>
      </c>
      <c r="C5">
        <v>4</v>
      </c>
    </row>
    <row r="6" spans="2:3" x14ac:dyDescent="0.25">
      <c r="B6" t="s">
        <v>6</v>
      </c>
      <c r="C6">
        <v>5</v>
      </c>
    </row>
    <row r="7" spans="2:3" x14ac:dyDescent="0.25">
      <c r="B7" t="s">
        <v>7</v>
      </c>
      <c r="C7">
        <v>6</v>
      </c>
    </row>
    <row r="8" spans="2:3" x14ac:dyDescent="0.25">
      <c r="B8" t="s">
        <v>8</v>
      </c>
      <c r="C8">
        <v>7</v>
      </c>
    </row>
    <row r="9" spans="2:3" x14ac:dyDescent="0.25">
      <c r="B9" t="s">
        <v>9</v>
      </c>
      <c r="C9">
        <v>8</v>
      </c>
    </row>
    <row r="10" spans="2:3" x14ac:dyDescent="0.25">
      <c r="B10" t="s">
        <v>10</v>
      </c>
      <c r="C10">
        <v>9</v>
      </c>
    </row>
    <row r="11" spans="2:3" x14ac:dyDescent="0.25">
      <c r="B11" t="s">
        <v>11</v>
      </c>
      <c r="C11">
        <v>10</v>
      </c>
    </row>
    <row r="12" spans="2:3" x14ac:dyDescent="0.25">
      <c r="B12" t="s">
        <v>12</v>
      </c>
      <c r="C12" t="s">
        <v>247</v>
      </c>
    </row>
    <row r="13" spans="2:3" x14ac:dyDescent="0.25">
      <c r="B13" t="s">
        <v>13</v>
      </c>
      <c r="C13">
        <v>12</v>
      </c>
    </row>
    <row r="14" spans="2:3" x14ac:dyDescent="0.25">
      <c r="B14" t="s">
        <v>14</v>
      </c>
      <c r="C14">
        <v>13</v>
      </c>
    </row>
    <row r="15" spans="2:3" x14ac:dyDescent="0.25">
      <c r="B15" t="s">
        <v>15</v>
      </c>
      <c r="C15">
        <v>14</v>
      </c>
    </row>
    <row r="16" spans="2:3" x14ac:dyDescent="0.25">
      <c r="B16" t="s">
        <v>16</v>
      </c>
      <c r="C16">
        <v>15</v>
      </c>
    </row>
    <row r="17" spans="2:3" x14ac:dyDescent="0.25">
      <c r="B17" t="s">
        <v>17</v>
      </c>
      <c r="C17">
        <v>16</v>
      </c>
    </row>
    <row r="18" spans="2:3" x14ac:dyDescent="0.25">
      <c r="B18" t="s">
        <v>18</v>
      </c>
      <c r="C18">
        <v>17</v>
      </c>
    </row>
    <row r="19" spans="2:3" x14ac:dyDescent="0.25">
      <c r="B19" t="s">
        <v>19</v>
      </c>
      <c r="C19">
        <v>18</v>
      </c>
    </row>
    <row r="20" spans="2:3" x14ac:dyDescent="0.25">
      <c r="B20" t="s">
        <v>20</v>
      </c>
      <c r="C20">
        <v>19</v>
      </c>
    </row>
    <row r="21" spans="2:3" x14ac:dyDescent="0.25">
      <c r="B21" t="s">
        <v>21</v>
      </c>
      <c r="C21">
        <v>20</v>
      </c>
    </row>
    <row r="22" spans="2:3" x14ac:dyDescent="0.25">
      <c r="B22" t="s">
        <v>248</v>
      </c>
      <c r="C22" t="s">
        <v>247</v>
      </c>
    </row>
    <row r="23" spans="2:3" x14ac:dyDescent="0.25">
      <c r="B23" t="s">
        <v>22</v>
      </c>
      <c r="C23">
        <v>22</v>
      </c>
    </row>
    <row r="24" spans="2:3" x14ac:dyDescent="0.25">
      <c r="B24" t="s">
        <v>23</v>
      </c>
      <c r="C24" t="s">
        <v>247</v>
      </c>
    </row>
    <row r="25" spans="2:3" x14ac:dyDescent="0.25">
      <c r="B25" t="s">
        <v>24</v>
      </c>
      <c r="C25" t="s">
        <v>247</v>
      </c>
    </row>
    <row r="26" spans="2:3" x14ac:dyDescent="0.25">
      <c r="B26" t="s">
        <v>25</v>
      </c>
      <c r="C26" t="s">
        <v>247</v>
      </c>
    </row>
    <row r="27" spans="2:3" x14ac:dyDescent="0.25">
      <c r="B27" t="s">
        <v>26</v>
      </c>
      <c r="C27" t="s">
        <v>247</v>
      </c>
    </row>
    <row r="28" spans="2:3" x14ac:dyDescent="0.25">
      <c r="B28" t="s">
        <v>27</v>
      </c>
      <c r="C28" t="s">
        <v>247</v>
      </c>
    </row>
    <row r="29" spans="2:3" x14ac:dyDescent="0.25">
      <c r="B29" t="s">
        <v>28</v>
      </c>
      <c r="C29" t="s">
        <v>247</v>
      </c>
    </row>
    <row r="30" spans="2:3" x14ac:dyDescent="0.25">
      <c r="B30" t="s">
        <v>24</v>
      </c>
      <c r="C30" t="s">
        <v>247</v>
      </c>
    </row>
    <row r="31" spans="2:3" x14ac:dyDescent="0.25">
      <c r="B31" t="s">
        <v>25</v>
      </c>
      <c r="C31" t="s">
        <v>247</v>
      </c>
    </row>
    <row r="32" spans="2:3" x14ac:dyDescent="0.25">
      <c r="B32" t="s">
        <v>26</v>
      </c>
      <c r="C32" t="s">
        <v>247</v>
      </c>
    </row>
    <row r="33" spans="2:3" x14ac:dyDescent="0.25">
      <c r="B33" t="s">
        <v>29</v>
      </c>
      <c r="C33" t="s">
        <v>247</v>
      </c>
    </row>
    <row r="34" spans="2:3" x14ac:dyDescent="0.25">
      <c r="B34" t="s">
        <v>30</v>
      </c>
      <c r="C34" t="s">
        <v>247</v>
      </c>
    </row>
    <row r="35" spans="2:3" x14ac:dyDescent="0.25">
      <c r="B35" t="s">
        <v>31</v>
      </c>
      <c r="C35">
        <v>34</v>
      </c>
    </row>
    <row r="36" spans="2:3" x14ac:dyDescent="0.25">
      <c r="B36" t="s">
        <v>32</v>
      </c>
      <c r="C36" t="s">
        <v>247</v>
      </c>
    </row>
    <row r="37" spans="2:3" x14ac:dyDescent="0.25">
      <c r="B37" t="s">
        <v>33</v>
      </c>
      <c r="C37">
        <v>36</v>
      </c>
    </row>
    <row r="38" spans="2:3" x14ac:dyDescent="0.25">
      <c r="B38" t="s">
        <v>34</v>
      </c>
      <c r="C38" t="s">
        <v>247</v>
      </c>
    </row>
    <row r="39" spans="2:3" x14ac:dyDescent="0.25">
      <c r="B39" t="s">
        <v>35</v>
      </c>
      <c r="C39" t="s">
        <v>247</v>
      </c>
    </row>
    <row r="40" spans="2:3" x14ac:dyDescent="0.25">
      <c r="B40" t="s">
        <v>35</v>
      </c>
      <c r="C40" t="s">
        <v>247</v>
      </c>
    </row>
    <row r="41" spans="2:3" x14ac:dyDescent="0.25">
      <c r="B41" t="s">
        <v>36</v>
      </c>
      <c r="C41" t="s">
        <v>247</v>
      </c>
    </row>
    <row r="42" spans="2:3" x14ac:dyDescent="0.25">
      <c r="B42" t="s">
        <v>37</v>
      </c>
      <c r="C42" t="s">
        <v>247</v>
      </c>
    </row>
    <row r="43" spans="2:3" x14ac:dyDescent="0.25">
      <c r="B43" t="s">
        <v>38</v>
      </c>
      <c r="C43" t="s">
        <v>247</v>
      </c>
    </row>
    <row r="44" spans="2:3" x14ac:dyDescent="0.25">
      <c r="B44" t="s">
        <v>39</v>
      </c>
      <c r="C44" t="s">
        <v>247</v>
      </c>
    </row>
    <row r="45" spans="2:3" x14ac:dyDescent="0.25">
      <c r="B45" t="s">
        <v>40</v>
      </c>
      <c r="C45">
        <v>44</v>
      </c>
    </row>
    <row r="46" spans="2:3" x14ac:dyDescent="0.25">
      <c r="B46" t="s">
        <v>41</v>
      </c>
      <c r="C46" t="s">
        <v>247</v>
      </c>
    </row>
    <row r="47" spans="2:3" x14ac:dyDescent="0.25">
      <c r="B47" t="s">
        <v>42</v>
      </c>
      <c r="C47" t="s">
        <v>247</v>
      </c>
    </row>
    <row r="48" spans="2:3" x14ac:dyDescent="0.25">
      <c r="B48" t="s">
        <v>43</v>
      </c>
      <c r="C48" t="s">
        <v>247</v>
      </c>
    </row>
    <row r="49" spans="2:59" x14ac:dyDescent="0.25">
      <c r="B49" t="s">
        <v>44</v>
      </c>
      <c r="C49" t="s">
        <v>247</v>
      </c>
    </row>
    <row r="50" spans="2:59" x14ac:dyDescent="0.25">
      <c r="B50" t="s">
        <v>45</v>
      </c>
      <c r="C50" t="s">
        <v>247</v>
      </c>
    </row>
    <row r="51" spans="2:59" x14ac:dyDescent="0.25">
      <c r="B51" t="s">
        <v>46</v>
      </c>
      <c r="C51" t="s">
        <v>247</v>
      </c>
    </row>
    <row r="52" spans="2:59" x14ac:dyDescent="0.25">
      <c r="B52" t="s">
        <v>47</v>
      </c>
      <c r="C52" t="s">
        <v>247</v>
      </c>
    </row>
    <row r="53" spans="2:59" x14ac:dyDescent="0.25">
      <c r="B53" t="s">
        <v>48</v>
      </c>
      <c r="C53" t="s">
        <v>247</v>
      </c>
    </row>
    <row r="54" spans="2:59" x14ac:dyDescent="0.25">
      <c r="B54" t="s">
        <v>49</v>
      </c>
      <c r="C54">
        <v>53</v>
      </c>
    </row>
    <row r="55" spans="2:59" x14ac:dyDescent="0.25">
      <c r="B55" t="s">
        <v>50</v>
      </c>
      <c r="C55">
        <v>54</v>
      </c>
    </row>
    <row r="56" spans="2:59" x14ac:dyDescent="0.25">
      <c r="B56" t="s">
        <v>51</v>
      </c>
      <c r="C56">
        <v>55</v>
      </c>
    </row>
    <row r="58" spans="2:59" x14ac:dyDescent="0.25">
      <c r="E58" t="s">
        <v>3</v>
      </c>
      <c r="F58" t="s">
        <v>4</v>
      </c>
      <c r="G58" t="s">
        <v>0</v>
      </c>
      <c r="H58" t="s">
        <v>5</v>
      </c>
      <c r="I58" t="s">
        <v>6</v>
      </c>
      <c r="J58" t="s">
        <v>7</v>
      </c>
      <c r="K58" t="s">
        <v>8</v>
      </c>
      <c r="L58" t="s">
        <v>9</v>
      </c>
      <c r="M58" t="s">
        <v>10</v>
      </c>
      <c r="N58" t="s">
        <v>11</v>
      </c>
      <c r="O58" t="s">
        <v>12</v>
      </c>
      <c r="P58" t="s">
        <v>13</v>
      </c>
      <c r="Q58" t="s">
        <v>14</v>
      </c>
      <c r="R58" t="s">
        <v>15</v>
      </c>
      <c r="S58" t="s">
        <v>16</v>
      </c>
      <c r="T58" t="s">
        <v>17</v>
      </c>
      <c r="U58" t="s">
        <v>18</v>
      </c>
      <c r="V58" t="s">
        <v>19</v>
      </c>
      <c r="W58" t="s">
        <v>20</v>
      </c>
      <c r="X58" t="s">
        <v>21</v>
      </c>
      <c r="Y58" t="s">
        <v>248</v>
      </c>
      <c r="Z58" t="s">
        <v>22</v>
      </c>
      <c r="AA58" t="s">
        <v>23</v>
      </c>
      <c r="AB58" t="s">
        <v>24</v>
      </c>
      <c r="AC58" t="s">
        <v>25</v>
      </c>
      <c r="AD58" t="s">
        <v>26</v>
      </c>
      <c r="AE58" t="s">
        <v>27</v>
      </c>
      <c r="AF58" t="s">
        <v>28</v>
      </c>
      <c r="AG58" t="s">
        <v>24</v>
      </c>
      <c r="AH58" t="s">
        <v>25</v>
      </c>
      <c r="AI58" t="s">
        <v>26</v>
      </c>
      <c r="AJ58" t="s">
        <v>29</v>
      </c>
      <c r="AK58" t="s">
        <v>30</v>
      </c>
      <c r="AL58" t="s">
        <v>31</v>
      </c>
      <c r="AM58" t="s">
        <v>32</v>
      </c>
      <c r="AN58" t="s">
        <v>33</v>
      </c>
      <c r="AO58" t="s">
        <v>34</v>
      </c>
      <c r="AP58" t="s">
        <v>35</v>
      </c>
      <c r="AQ58" t="s">
        <v>35</v>
      </c>
      <c r="AR58" t="s">
        <v>36</v>
      </c>
      <c r="AS58" t="s">
        <v>37</v>
      </c>
      <c r="AT58" t="s">
        <v>38</v>
      </c>
      <c r="AU58" t="s">
        <v>39</v>
      </c>
      <c r="AV58" t="s">
        <v>40</v>
      </c>
      <c r="AW58" t="s">
        <v>41</v>
      </c>
      <c r="AX58" t="s">
        <v>42</v>
      </c>
      <c r="AY58" t="s">
        <v>43</v>
      </c>
      <c r="AZ58" t="s">
        <v>44</v>
      </c>
      <c r="BA58" t="s">
        <v>45</v>
      </c>
      <c r="BB58" t="s">
        <v>46</v>
      </c>
      <c r="BC58" t="s">
        <v>47</v>
      </c>
      <c r="BD58" t="s">
        <v>48</v>
      </c>
      <c r="BE58" t="s">
        <v>49</v>
      </c>
      <c r="BF58" t="s">
        <v>50</v>
      </c>
      <c r="BG58" t="s">
        <v>51</v>
      </c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Fixed_list</vt:lpstr>
      <vt:lpstr>Column Map Temprary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Mamun</dc:creator>
  <cp:lastModifiedBy>Mamun</cp:lastModifiedBy>
  <dcterms:created xsi:type="dcterms:W3CDTF">2020-09-27T07:04:46Z</dcterms:created>
  <dcterms:modified xsi:type="dcterms:W3CDTF">2020-10-03T16:41:26Z</dcterms:modified>
</cp:coreProperties>
</file>